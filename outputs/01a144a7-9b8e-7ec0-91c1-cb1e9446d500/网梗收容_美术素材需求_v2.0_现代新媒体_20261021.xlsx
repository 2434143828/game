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f9bbfd2a6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素材需求" sheetId="1" r:id="Rf48c7f6ab75f445e"/>
    <x:sheet xmlns:r="http://schemas.openxmlformats.org/officeDocument/2006/relationships" name="逐张提示词" sheetId="2" r:id="R568e8abaa1d74312"/>
    <x:sheet xmlns:r="http://schemas.openxmlformats.org/officeDocument/2006/relationships" name="生成规范" sheetId="3" r:id="R1c1ec3805f9d4954"/>
    <x:sheet xmlns:r="http://schemas.openxmlformats.org/officeDocument/2006/relationships" name="程序与动效" sheetId="4" r:id="R4dca1d9fa86d4e28"/>
    <x:sheet xmlns:r="http://schemas.openxmlformats.org/officeDocument/2006/relationships" name="验收清单" sheetId="5" r:id="R82bb555d4c31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E2630"/>
      <x:name val="Microsoft YaHei"/>
    </x:font>
    <x:font>
      <x:b/>
      <x:sz val="16"/>
      <x:color rgb="FF1E2630"/>
      <x:name val="Microsoft YaHei"/>
    </x:font>
    <x:font>
      <x:sz val="10"/>
      <x:color rgb="FF607080"/>
      <x:name val="Microsoft YaHei"/>
    </x:font>
    <x:font>
      <x:b/>
      <x:sz val="10"/>
      <x:color rgb="FFFFFFFF"/>
      <x:name val="Microsoft YaHei"/>
    </x:font>
    <x:font>
      <x:b/>
      <x:sz val="10"/>
      <x:color rgb="FF1E2630"/>
      <x:name val="Microsoft YaHei"/>
    </x:font>
    <x:font>
      <x:b/>
      <x:sz val="10"/>
      <x:color rgb="FF12161C"/>
      <x:name val="Microsoft YaHei"/>
    </x:font>
    <x:font>
      <x:b/>
      <x:sz val="10"/>
      <x:color rgb="FF237BAD"/>
      <x:name val="Microsoft YaHei"/>
    </x:font>
  </x:fonts>
  <x:fills count="1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E2630"/>
      </x:patternFill>
    </x:fill>
    <x:fill>
      <x:patternFill patternType="solid">
        <x:fgColor rgb="FFF3F7FA"/>
      </x:patternFill>
    </x:fill>
    <x:fill>
      <x:patternFill patternType="solid">
        <x:fgColor rgb="FF12161C"/>
      </x:patternFill>
    </x:fill>
    <x:fill>
      <x:patternFill patternType="solid">
        <x:fgColor rgb="FF39424E"/>
      </x:patternFill>
    </x:fill>
    <x:fill>
      <x:patternFill patternType="solid">
        <x:fgColor rgb="FFD9E1EA"/>
      </x:patternFill>
    </x:fill>
    <x:fill>
      <x:patternFill patternType="solid">
        <x:fgColor rgb="FF57B8FF"/>
      </x:patternFill>
    </x:fill>
    <x:fill>
      <x:patternFill patternType="solid">
        <x:fgColor rgb="FFFF4FA3"/>
      </x:patternFill>
    </x:fill>
    <x:fill>
      <x:patternFill patternType="solid">
        <x:fgColor rgb="FF9C6BFF"/>
      </x:patternFill>
    </x:fill>
    <x:fill>
      <x:patternFill patternType="solid">
        <x:fgColor rgb="FFFFD84D"/>
      </x:patternFill>
    </x:fill>
    <x:fill>
      <x:patternFill patternType="solid">
        <x:fgColor rgb="FFFF8A3D"/>
      </x:patternFill>
    </x:fill>
    <x:fill>
      <x:patternFill patternType="solid">
        <x:fgColor rgb="FFFF5B6E"/>
      </x:patternFill>
    </x:fill>
    <x:fill>
      <x:patternFill patternType="solid">
        <x:fgColor rgb="FF4EDBFF"/>
      </x:patternFill>
    </x:fill>
    <x:fill>
      <x:patternFill patternType="solid">
        <x:fgColor rgb="FFFFF3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E1EA"/>
      </x:bottom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0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0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6" fillId="13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6" fillId="1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7" fillId="2" borderId="0" xfId="0" applyNumberFormat="1" applyFont="1" applyFill="1" applyBorder="1" applyAlignment="1">
      <x:alignment vertical="top" wrapText="0"/>
    </x:xf>
    <x:xf numFmtId="200" fontId="1" fillId="2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horizontal="right" vertical="top" wrapText="1"/>
    </x:xf>
    <x:xf numFmtId="200" fontId="1" fillId="4" borderId="1" xfId="0" applyNumberFormat="1" applyFont="1" applyFill="1" applyBorder="1" applyAlignment="1">
      <x:alignment horizontal="right" vertical="top" wrapText="1"/>
    </x:xf>
    <x:xf numFmtId="0" fontId="1" fillId="1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1C6494"/>
      </x:font>
      <x:fill>
        <x:patternFill patternType="solid">
          <x:bgColor rgb="FFE9F5FC"/>
        </x:patternFill>
      </x:fill>
    </x:dxf>
    <x:dxf>
      <x:font>
        <x:b/>
        <x:color rgb="FF9A5D0E"/>
      </x:font>
      <x:fill>
        <x:patternFill patternType="solid">
          <x:bgColor rgb="FFFFF0DB"/>
        </x:patternFill>
      </x:fill>
    </x:dxf>
    <x:dxf>
      <x:font>
        <x:b/>
        <x:color rgb="FF745199"/>
      </x:font>
      <x:fill>
        <x:patternFill patternType="solid">
          <x:bgColor rgb="FFF0EAFB"/>
        </x:patternFill>
      </x:fill>
    </x:dxf>
    <x:dxf>
      <x:font>
        <x:b/>
        <x:color rgb="FF1C6494"/>
      </x:font>
      <x:fill>
        <x:patternFill patternType="solid">
          <x:bgColor rgb="FFE9F5FC"/>
        </x:patternFill>
      </x:fill>
    </x:dxf>
    <x:dxf>
      <x:font>
        <x:b/>
        <x:color rgb="FF9A5D0E"/>
      </x:font>
      <x:fill>
        <x:patternFill patternType="solid">
          <x:bgColor rgb="FFFFF0DB"/>
        </x:patternFill>
      </x:fill>
    </x:dxf>
    <x:dxf>
      <x:font>
        <x:b/>
        <x:color rgb="FF745199"/>
      </x:font>
      <x:fill>
        <x:patternFill patternType="solid">
          <x:bgColor rgb="FFF0EAFB"/>
        </x:patternFill>
      </x:fill>
    </x:dxf>
    <x:dxf>
      <x:font>
        <x:b/>
        <x:color rgb="FF1C6494"/>
      </x:font>
      <x:fill>
        <x:patternFill patternType="solid">
          <x:bgColor rgb="FFE9F5FC"/>
        </x:patternFill>
      </x:fill>
    </x:dxf>
    <x:dxf>
      <x:font>
        <x:b/>
        <x:color rgb="FF9A5D0E"/>
      </x:font>
      <x:fill>
        <x:patternFill patternType="solid">
          <x:bgColor rgb="FFFFF0DB"/>
        </x:patternFill>
      </x:fill>
    </x:dxf>
    <x:dxf>
      <x:font>
        <x:b/>
        <x:color rgb="FF745199"/>
      </x:font>
      <x:fill>
        <x:patternFill patternType="solid">
          <x:bgColor rgb="FFF0EA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88b3fe4f04110" /><Relationship Type="http://schemas.openxmlformats.org/officeDocument/2006/relationships/theme" Target="/xl/theme/theme1.xml" Id="R3e88e135af5444fe" /><Relationship Type="http://schemas.openxmlformats.org/officeDocument/2006/relationships/sharedStrings" Target="/xl/sharedStrings.xml" Id="Rd9a72d6c2d7844a6" /><Relationship Type="http://schemas.openxmlformats.org/officeDocument/2006/relationships/worksheet" Target="/xl/worksheets/sheet1.xml" Id="Rf48c7f6ab75f445e" /><Relationship Type="http://schemas.openxmlformats.org/officeDocument/2006/relationships/worksheet" Target="/xl/worksheets/sheet2.xml" Id="R568e8abaa1d74312" /><Relationship Type="http://schemas.openxmlformats.org/officeDocument/2006/relationships/worksheet" Target="/xl/worksheets/sheet3.xml" Id="R1c1ec3805f9d4954" /><Relationship Type="http://schemas.openxmlformats.org/officeDocument/2006/relationships/worksheet" Target="/xl/worksheets/sheet4.xml" Id="R4dca1d9fa86d4e28" /><Relationship Type="http://schemas.openxmlformats.org/officeDocument/2006/relationships/worksheet" Target="/xl/worksheets/sheet5.xml" Id="R82bb555d4c31488c" /></Relationships>
</file>

<file path=xl/tables/table1.xml><?xml version="1.0" encoding="utf-8"?>
<x:table xmlns:x="http://schemas.openxmlformats.org/spreadsheetml/2006/main" id="1" name="ArtRequirementsV2" displayName="ArtRequirementsV2" ref="A7:S119" headerRowCount="1" totalsRowCount="0" totalsRowShown="0">
  <x:autoFilter ref="A7:S119"/>
  <x:tableColumns count="19">
    <x:tableColumn id="1" name="需求ID"/>
    <x:tableColumn id="2" name="优先级"/>
    <x:tableColumn id="3" name="模块"/>
    <x:tableColumn id="4" name="素材命名前缀"/>
    <x:tableColumn id="5" name="素材对象"/>
    <x:tableColumn id="6" name="素材生成要求"/>
    <x:tableColumn id="7" name="素材参考对象"/>
    <x:tableColumn id="8" name="PNG张数"/>
    <x:tableColumn id="9" name="交付性质"/>
    <x:tableColumn id="10" name="常态／异常状态"/>
    <x:tableColumn id="11" name="建议尺寸"/>
    <x:tableColumn id="12" name="交付格式"/>
    <x:tableColumn id="13" name="轴点／拼接建议"/>
    <x:tableColumn id="14" name="本组禁止项"/>
    <x:tableColumn id="15" name="实际状态与触发"/>
    <x:tableColumn id="16" name="旧版如何替换"/>
    <x:tableColumn id="17" name="验收标准"/>
    <x:tableColumn id="18" name="制作现状"/>
    <x:tableColumn id="19" name="旧版需求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PromptsV2" displayName="ArtPromptsV2" ref="A7:L314" headerRowCount="1" totalsRowCount="0" totalsRowShown="0">
  <x:autoFilter ref="A7:L314"/>
  <x:tableColumns count="12">
    <x:tableColumn id="1" name="单张文件名"/>
    <x:tableColumn id="2" name="需求ID"/>
    <x:tableColumn id="3" name="本张对象"/>
    <x:tableColumn id="4" name="完整生成提示词｜复制本列"/>
    <x:tableColumn id="5" name="本张限定范围｜可修改"/>
    <x:tableColumn id="6" name="素材参考对象"/>
    <x:tableColumn id="7" name="优先级"/>
    <x:tableColumn id="8" name="交付用途"/>
    <x:tableColumn id="9" name="建议画布／格式"/>
    <x:tableColumn id="10" name="交付目录（建议）"/>
    <x:tableColumn id="11" name="制作状态"/>
    <x:tableColumn id="12" name="文件后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tIntegrationV2" displayName="ArtIntegrationV2" ref="A7:H15" headerRowCount="1" totalsRowCount="0" totalsRowShown="0">
  <x:autoFilter ref="A7:H15"/>
  <x:tableColumns count="8">
    <x:tableColumn id="1" name="职责ID"/>
    <x:tableColumn id="2" name="优先级"/>
    <x:tableColumn id="3" name="程序／动效职责"/>
    <x:tableColumn id="4" name="呈现要求"/>
    <x:tableColumn id="5" name="真实触发／数据来源"/>
    <x:tableColumn id="6" name="与图片分工"/>
    <x:tableColumn id="7" name="验收标准"/>
    <x:tableColumn id="8" name="当前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tAcceptanceV2" displayName="ArtAcceptanceV2" ref="A7:G24" headerRowCount="1" totalsRowCount="0" totalsRowShown="0">
  <x:autoFilter ref="A7:G24"/>
  <x:tableColumns count="7">
    <x:tableColumn id="1" name="验收ID"/>
    <x:tableColumn id="2" name="阶段"/>
    <x:tableColumn id="3" name="检查对象"/>
    <x:tableColumn id="4" name="通过标准"/>
    <x:tableColumn id="5" name="检查方法"/>
    <x:tableColumn id="6" name="验收结果"/>
    <x:tableColumn id="7" name="证据／返工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764d2f36fc4c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8dd0a6d26749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4df1e3c7614f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0fa720c6fe4222" /></Relationships>
</file>

<file path=xl/worksheets/sheet1.xml><?xml version="1.0" encoding="utf-8"?>
<x:worksheet xmlns:x="http://schemas.openxmlformats.org/spreadsheetml/2006/main">
  <x:sheetPr>
    <x:tabColor rgb="FF237BAD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5" hidden="0" customWidth="1"/>
    <x:col min="2" max="2" width="13.75" hidden="0" customWidth="1"/>
    <x:col min="3" max="3" width="16.25" hidden="0" customWidth="1"/>
    <x:col min="4" max="4" width="37.5" hidden="0" customWidth="1"/>
    <x:col min="5" max="5" width="22.5" hidden="0" customWidth="1"/>
    <x:col min="6" max="6" width="67.5" hidden="0" customWidth="1"/>
    <x:col min="7" max="7" width="40" hidden="0" customWidth="1"/>
    <x:col min="8" max="8" width="10" hidden="0" customWidth="1"/>
    <x:col min="9" max="9" width="21.25" hidden="0" customWidth="1"/>
    <x:col min="10" max="10" width="20" hidden="0" customWidth="1"/>
    <x:col min="11" max="11" width="20" hidden="0" customWidth="1"/>
    <x:col min="12" max="12" width="27.5" hidden="0" customWidth="1"/>
    <x:col min="13" max="13" width="41.25" hidden="0" customWidth="1"/>
    <x:col min="14" max="14" width="46.25" hidden="0" customWidth="1"/>
    <x:col min="15" max="15" width="52.5" hidden="0" customWidth="1"/>
    <x:col min="16" max="16" width="50" hidden="0" customWidth="1"/>
    <x:col min="17" max="17" width="51.25" hidden="0" customWidth="1"/>
    <x:col min="18" max="18" width="17.5" hidden="0" customWidth="1"/>
    <x:col min="19" max="19" width="20" hidden="0" customWidth="1"/>
  </x:cols>
  <x:sheetData>
    <x:row r="1" ht="19.5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7" customHeight="1">
      <x:c r="A2" s="7" t="str">
        <x:v>网梗收容：奶龙失效｜美术素材需求 v2.0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22.5" customHeight="1">
      <x:c r="A3" s="9" t="str">
        <x:v>常态：现代新媒体收容机构　｜　异常：平台污染型互联网失效视觉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</x:row>
    <x:row r="4" ht="21.75" customHeight="1">
      <x:c r="A4" s="40" t="str">
        <x:f>"需求 "&amp;COUNTA(A8:A119)&amp;" 组  ·  PNG "&amp;SUM(H8:H119)&amp;" 张  ·  P0 "&amp;SUMIF(B8:B119,"P0常态",H8:H119)&amp;" 张  ·  P1 "&amp;SUMIF(B8:B119,"P1局部污染",H8:H119)&amp;" 张  ·  P2 "&amp;SUMIF(B8:B119,"P2扩展演出",H8:H119)&amp;" 张"</x:f>
        <x:v>需求 112 组  ·  PNG 307 张  ·  P0 252 张  ·  P1 50 张  ·  P2 5 张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</x:row>
    <x:row r="5" ht="21.75" customHeight="1">
      <x:c r="A5" s="39" t="str">
        <x:v>阅读顺序：生成规范 → 本表按优先级筛选 → 逐张提示词 D 列复制给 image 模型；先定稿，再出拆件与动作参考。</x:v>
      </x:c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</x:row>
    <x:row r="6" ht="19.5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</x:row>
    <x:row r="7" ht="28.5" customHeight="1">
      <x:c r="A7" s="13" t="str">
        <x:v>需求ID</x:v>
      </x:c>
      <x:c r="B7" s="13" t="str">
        <x:v>优先级</x:v>
      </x:c>
      <x:c r="C7" s="13" t="str">
        <x:v>模块</x:v>
      </x:c>
      <x:c r="D7" s="13" t="str">
        <x:v>素材命名前缀</x:v>
      </x:c>
      <x:c r="E7" s="13" t="str">
        <x:v>素材对象</x:v>
      </x:c>
      <x:c r="F7" s="13" t="str">
        <x:v>素材生成要求</x:v>
      </x:c>
      <x:c r="G7" s="13" t="str">
        <x:v>素材参考对象</x:v>
      </x:c>
      <x:c r="H7" s="13" t="str">
        <x:v>PNG张数</x:v>
      </x:c>
      <x:c r="I7" s="13" t="str">
        <x:v>交付性质</x:v>
      </x:c>
      <x:c r="J7" s="13" t="str">
        <x:v>常态／异常状态</x:v>
      </x:c>
      <x:c r="K7" s="13" t="str">
        <x:v>建议尺寸</x:v>
      </x:c>
      <x:c r="L7" s="13" t="str">
        <x:v>交付格式</x:v>
      </x:c>
      <x:c r="M7" s="13" t="str">
        <x:v>轴点／拼接建议</x:v>
      </x:c>
      <x:c r="N7" s="13" t="str">
        <x:v>本组禁止项</x:v>
      </x:c>
      <x:c r="O7" s="13" t="str">
        <x:v>实际状态与触发</x:v>
      </x:c>
      <x:c r="P7" s="13" t="str">
        <x:v>旧版如何替换</x:v>
      </x:c>
      <x:c r="Q7" s="13" t="str">
        <x:v>验收标准</x:v>
      </x:c>
      <x:c r="R7" s="13" t="str">
        <x:v>制作现状</x:v>
      </x:c>
      <x:c r="S7" s="13" t="str">
        <x:v>旧版需求ID</x:v>
      </x:c>
    </x:row>
    <x:row r="8" ht="114.75" customHeight="1">
      <x:c r="A8" s="37" t="str">
        <x:v>NMV2_STA_001</x:v>
      </x:c>
      <x:c r="B8" s="37" t="str">
        <x:v>P0常态</x:v>
      </x:c>
      <x:c r="C8" s="37" t="str">
        <x:v>员工</x:v>
      </x:c>
      <x:c r="D8" s="37" t="str">
        <x:v>nm_v2_agent_base_identity</x:v>
      </x:c>
      <x:c r="E8" s="37" t="str">
        <x:v>员工共用基型定稿</x:v>
      </x:c>
      <x:c r="F8" s="37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穿短款蓝灰现代机构制服、冷白内搭、小型无字工牌和轻便防滑鞋；手持物留空，E01短发用于比例示意。</x:v>
      </x:c>
      <x:c r="G8" s="37" t="str">
        <x:v>现代数字研究中心的轻便蓝灰短制服、冷白内搭、无字工牌和防滑鞋；约2.75头身，头手脚清晰，自然站姿、专业又可亲。以新附件5.3员工标准为准，旧图只核对挂点。</x:v>
      </x:c>
      <x:c r="H8" s="43" t="n">
        <x:f>COUNTIF('逐张提示词'!$B$8:$B$314,A8)</x:f>
        <x:v>1</x:v>
      </x:c>
      <x:c r="I8" s="37" t="str">
        <x:v>定稿参考</x:v>
      </x:c>
      <x:c r="J8" s="37" t="str">
        <x:v>IDLE</x:v>
      </x:c>
      <x:c r="K8" s="37" t="str">
        <x:v>1024×1024 px / 每张</x:v>
      </x:c>
      <x:c r="L8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8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8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8" s="37" t="str">
        <x:v>仅由现有真实员工状态/姿态渲染，不推进模拟。</x:v>
      </x:c>
      <x:c r="P8" s="37" t="str">
        <x:v>STA_001全新重画；只批准新比例、线条与配色，不把定稿PNG作为静态人物替代HumanRig。</x:v>
      </x:c>
      <x:c r="Q8" s="37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8" s="37" t="str">
        <x:v>待生成／待接入</x:v>
      </x:c>
      <x:c r="S8" s="37" t="str">
        <x:v>STA_001</x:v>
      </x:c>
    </x:row>
    <x:row r="9" ht="114.75" customHeight="1">
      <x:c r="A9" s="38" t="str">
        <x:v>NMV2_STA_002</x:v>
      </x:c>
      <x:c r="B9" s="38" t="str">
        <x:v>P0常态</x:v>
      </x:c>
      <x:c r="C9" s="38" t="str">
        <x:v>员工</x:v>
      </x:c>
      <x:c r="D9" s="38" t="str">
        <x:v>nm_v2_agent_base_parts</x:v>
      </x:c>
      <x:c r="E9" s="38" t="str">
        <x:v>员工共用身体与制式手持件</x:v>
      </x:c>
      <x:c r="F9" s="38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</x:v>
      </x:c>
      <x:c r="G9" s="38" t="str">
        <x:v>现代机构员工的人体简化拆件，圆角肩、正常手掌与短鞋；蓝灰布料与冷白内搭，常见平板电脑和圆钝制式短棍。按新版员工定稿比例，单张只画一个当前部位。</x:v>
      </x:c>
      <x:c r="H9" s="44" t="n">
        <x:f>COUNTIF('逐张提示词'!$B$8:$B$314,A9)</x:f>
        <x:v>16</x:v>
      </x:c>
      <x:c r="I9" s="38" t="str">
        <x:v>运行拆件</x:v>
      </x:c>
      <x:c r="J9" s="38" t="str">
        <x:v>通用</x:v>
      </x:c>
      <x:c r="K9" s="38" t="str">
        <x:v>1024×1024 px / 每张</x:v>
      </x:c>
      <x:c r="L9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9" s="38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9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9" s="38" t="str">
        <x:v>仅由现有真实员工状态/姿态渲染，不推进模拟。</x:v>
      </x:c>
      <x:c r="P9" s="38" t="str">
        <x:v>替换STA_002的16个文件；clipboard在新文件改名tablet，未来导入时显式映射旧clipboard槽；W00 ID、数值及攻击阶段不变。</x:v>
      </x:c>
      <x:c r="Q9" s="38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9" s="38" t="str">
        <x:v>待生成／待接入</x:v>
      </x:c>
      <x:c r="S9" s="38" t="str">
        <x:v>STA_002</x:v>
      </x:c>
    </x:row>
    <x:row r="10" ht="114.75" customHeight="1">
      <x:c r="A10" s="37" t="str">
        <x:v>NMV2_STA_003</x:v>
      </x:c>
      <x:c r="B10" s="37" t="str">
        <x:v>P0常态</x:v>
      </x:c>
      <x:c r="C10" s="37" t="str">
        <x:v>员工</x:v>
      </x:c>
      <x:c r="D10" s="37" t="str">
        <x:v>nm_v2_agent_hair_quiff</x:v>
      </x:c>
      <x:c r="E10" s="37" t="str">
        <x:v>E01上扬短束</x:v>
      </x:c>
      <x:c r="F10" s="37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</x:v>
      </x:c>
      <x:c r="G10" s="37" t="str">
        <x:v>简洁蓬松短发，额前一小簇向上发束；现代职场发型，深蓝黑与低饱和冷灰阴影，无尖锐漫画刺发。</x:v>
      </x:c>
      <x:c r="H10" s="43" t="n">
        <x:f>COUNTIF('逐张提示词'!$B$8:$B$314,A10)</x:f>
        <x:v>1</x:v>
      </x:c>
      <x:c r="I10" s="37" t="str">
        <x:v>运行拆件</x:v>
      </x:c>
      <x:c r="J10" s="37" t="str">
        <x:v>通用</x:v>
      </x:c>
      <x:c r="K10" s="37" t="str">
        <x:v>1024×1024 px / 每张</x:v>
      </x:c>
      <x:c r="L10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0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10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0" s="37" t="str">
        <x:v>仅由现有真实员工状态/姿态渲染，不推进模拟。</x:v>
      </x:c>
      <x:c r="P10" s="37" t="str">
        <x:v>保持原STA_003身份索引与分层数量；更换新美术，不绑定职业或数值。</x:v>
      </x:c>
      <x:c r="Q10" s="37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10" s="37" t="str">
        <x:v>待生成／待接入</x:v>
      </x:c>
      <x:c r="S10" s="37" t="str">
        <x:v>STA_003</x:v>
      </x:c>
    </x:row>
    <x:row r="11" ht="114.75" customHeight="1">
      <x:c r="A11" s="38" t="str">
        <x:v>NMV2_STA_004</x:v>
      </x:c>
      <x:c r="B11" s="38" t="str">
        <x:v>P0常态</x:v>
      </x:c>
      <x:c r="C11" s="38" t="str">
        <x:v>员工</x:v>
      </x:c>
      <x:c r="D11" s="38" t="str">
        <x:v>nm_v2_agent_hair_side_fringe</x:v>
      </x:c>
      <x:c r="E11" s="38" t="str">
        <x:v>E02侧分短发</x:v>
      </x:c>
      <x:c r="F11" s="38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</x:v>
      </x:c>
      <x:c r="G11" s="38" t="str">
        <x:v>干净侧分短刘海、耳边利落的现代职场短发；深棕与冷灰阴影，不遮主要眼区。</x:v>
      </x:c>
      <x:c r="H11" s="44" t="n">
        <x:f>COUNTIF('逐张提示词'!$B$8:$B$314,A11)</x:f>
        <x:v>1</x:v>
      </x:c>
      <x:c r="I11" s="38" t="str">
        <x:v>运行拆件</x:v>
      </x:c>
      <x:c r="J11" s="38" t="str">
        <x:v>通用</x:v>
      </x:c>
      <x:c r="K11" s="38" t="str">
        <x:v>1024×1024 px / 每张</x:v>
      </x:c>
      <x:c r="L11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1" s="38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11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1" s="38" t="str">
        <x:v>仅由现有真实员工状态/姿态渲染，不推进模拟。</x:v>
      </x:c>
      <x:c r="P11" s="38" t="str">
        <x:v>保持原STA_004身份索引与分层数量；更换新美术，不绑定职业或数值。</x:v>
      </x:c>
      <x:c r="Q11" s="38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11" s="38" t="str">
        <x:v>待生成／待接入</x:v>
      </x:c>
      <x:c r="S11" s="38" t="str">
        <x:v>STA_004</x:v>
      </x:c>
    </x:row>
    <x:row r="12" ht="114.75" customHeight="1">
      <x:c r="A12" s="37" t="str">
        <x:v>NMV2_STA_005</x:v>
      </x:c>
      <x:c r="B12" s="37" t="str">
        <x:v>P0常态</x:v>
      </x:c>
      <x:c r="C12" s="37" t="str">
        <x:v>员工</x:v>
      </x:c>
      <x:c r="D12" s="37" t="str">
        <x:v>nm_v2_agent_hair_bob_glasses</x:v>
      </x:c>
      <x:c r="E12" s="37" t="str">
        <x:v>E03短波波头与眼镜</x:v>
      </x:c>
      <x:c r="F12" s="37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</x:v>
      </x:c>
      <x:c r="G12" s="37" t="str">
        <x:v>利落圆角短波波头和现代细框眼镜；头发与镜框分图，镜片清透、无多余脸部底色。</x:v>
      </x:c>
      <x:c r="H12" s="43" t="n">
        <x:f>COUNTIF('逐张提示词'!$B$8:$B$314,A12)</x:f>
        <x:v>2</x:v>
      </x:c>
      <x:c r="I12" s="37" t="str">
        <x:v>运行拆件</x:v>
      </x:c>
      <x:c r="J12" s="37" t="str">
        <x:v>通用</x:v>
      </x:c>
      <x:c r="K12" s="37" t="str">
        <x:v>1024×1024 px / 每张</x:v>
      </x:c>
      <x:c r="L12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2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12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2" s="37" t="str">
        <x:v>仅由现有真实员工状态/姿态渲染，不推进模拟。</x:v>
      </x:c>
      <x:c r="P12" s="37" t="str">
        <x:v>保持原STA_005身份索引与分层数量；更换新美术，不绑定职业或数值。</x:v>
      </x:c>
      <x:c r="Q12" s="37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12" s="37" t="str">
        <x:v>待生成／待接入</x:v>
      </x:c>
      <x:c r="S12" s="37" t="str">
        <x:v>STA_005</x:v>
      </x:c>
    </x:row>
    <x:row r="13" ht="114.75" customHeight="1">
      <x:c r="A13" s="38" t="str">
        <x:v>NMV2_STA_006</x:v>
      </x:c>
      <x:c r="B13" s="38" t="str">
        <x:v>P0常态</x:v>
      </x:c>
      <x:c r="C13" s="38" t="str">
        <x:v>员工</x:v>
      </x:c>
      <x:c r="D13" s="38" t="str">
        <x:v>nm_v2_agent_hair_ponytail</x:v>
      </x:c>
      <x:c r="E13" s="38" t="str">
        <x:v>E04束发与短马尾</x:v>
      </x:c>
      <x:c r="F13" s="38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</x:v>
      </x:c>
      <x:c r="G13" s="38" t="str">
        <x:v>舒适扎起的中短马尾，前发沿额头、后马尾有清楚发根；自然不凌乱，不遮职业领口。</x:v>
      </x:c>
      <x:c r="H13" s="44" t="n">
        <x:f>COUNTIF('逐张提示词'!$B$8:$B$314,A13)</x:f>
        <x:v>2</x:v>
      </x:c>
      <x:c r="I13" s="38" t="str">
        <x:v>运行拆件</x:v>
      </x:c>
      <x:c r="J13" s="38" t="str">
        <x:v>通用</x:v>
      </x:c>
      <x:c r="K13" s="38" t="str">
        <x:v>1024×1024 px / 每张</x:v>
      </x:c>
      <x:c r="L13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3" s="38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13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3" s="38" t="str">
        <x:v>仅由现有真实员工状态/姿态渲染，不推进模拟。</x:v>
      </x:c>
      <x:c r="P13" s="38" t="str">
        <x:v>保持原STA_006身份索引与分层数量；更换新美术，不绑定职业或数值。</x:v>
      </x:c>
      <x:c r="Q13" s="38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13" s="38" t="str">
        <x:v>待生成／待接入</x:v>
      </x:c>
      <x:c r="S13" s="38" t="str">
        <x:v>STA_006</x:v>
      </x:c>
    </x:row>
    <x:row r="14" ht="114.75" customHeight="1">
      <x:c r="A14" s="37" t="str">
        <x:v>NMV2_STA_007</x:v>
      </x:c>
      <x:c r="B14" s="37" t="str">
        <x:v>P0常态</x:v>
      </x:c>
      <x:c r="C14" s="37" t="str">
        <x:v>员工</x:v>
      </x:c>
      <x:c r="D14" s="37" t="str">
        <x:v>nm_v2_agent_hair_close_crop</x:v>
      </x:c>
      <x:c r="E14" s="37" t="str">
        <x:v>E05贴头短发</x:v>
      </x:c>
      <x:c r="F14" s="37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</x:v>
      </x:c>
      <x:c r="G14" s="37" t="str">
        <x:v>简洁贴头短寸发，头皮轮廓自然、深色块克制，适合现代设施职员。</x:v>
      </x:c>
      <x:c r="H14" s="43" t="n">
        <x:f>COUNTIF('逐张提示词'!$B$8:$B$314,A14)</x:f>
        <x:v>1</x:v>
      </x:c>
      <x:c r="I14" s="37" t="str">
        <x:v>运行拆件</x:v>
      </x:c>
      <x:c r="J14" s="37" t="str">
        <x:v>通用</x:v>
      </x:c>
      <x:c r="K14" s="37" t="str">
        <x:v>1024×1024 px / 每张</x:v>
      </x:c>
      <x:c r="L14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4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14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4" s="37" t="str">
        <x:v>仅由现有真实员工状态/姿态渲染，不推进模拟。</x:v>
      </x:c>
      <x:c r="P14" s="37" t="str">
        <x:v>保持原STA_007身份索引与分层数量；更换新美术，不绑定职业或数值。</x:v>
      </x:c>
      <x:c r="Q14" s="37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14" s="37" t="str">
        <x:v>待生成／待接入</x:v>
      </x:c>
      <x:c r="S14" s="37" t="str">
        <x:v>STA_007</x:v>
      </x:c>
    </x:row>
    <x:row r="15" ht="114.75" customHeight="1">
      <x:c r="A15" s="38" t="str">
        <x:v>NMV2_STA_008</x:v>
      </x:c>
      <x:c r="B15" s="38" t="str">
        <x:v>P0常态</x:v>
      </x:c>
      <x:c r="C15" s="38" t="str">
        <x:v>员工</x:v>
      </x:c>
      <x:c r="D15" s="38" t="str">
        <x:v>nm_v2_agent_hair_bun</x:v>
      </x:c>
      <x:c r="E15" s="38" t="str">
        <x:v>E06盘发</x:v>
      </x:c>
      <x:c r="F15" s="38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</x:v>
      </x:c>
      <x:c r="G15" s="38" t="str">
        <x:v>现代职场的小圆盘髻与整齐前发；发髻在后上方、根部明确，前后层分图，不做夸张古装头饰。</x:v>
      </x:c>
      <x:c r="H15" s="44" t="n">
        <x:f>COUNTIF('逐张提示词'!$B$8:$B$314,A15)</x:f>
        <x:v>2</x:v>
      </x:c>
      <x:c r="I15" s="38" t="str">
        <x:v>运行拆件</x:v>
      </x:c>
      <x:c r="J15" s="38" t="str">
        <x:v>通用</x:v>
      </x:c>
      <x:c r="K15" s="38" t="str">
        <x:v>1024×1024 px / 每张</x:v>
      </x:c>
      <x:c r="L15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5" s="38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15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5" s="38" t="str">
        <x:v>仅由现有真实员工状态/姿态渲染，不推进模拟。</x:v>
      </x:c>
      <x:c r="P15" s="38" t="str">
        <x:v>保持原STA_008身份索引与分层数量；更换新美术，不绑定职业或数值。</x:v>
      </x:c>
      <x:c r="Q15" s="38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15" s="38" t="str">
        <x:v>待生成／待接入</x:v>
      </x:c>
      <x:c r="S15" s="38" t="str">
        <x:v>STA_008</x:v>
      </x:c>
    </x:row>
    <x:row r="16" ht="114.75" customHeight="1">
      <x:c r="A16" s="37" t="str">
        <x:v>NMV2_STA_009</x:v>
      </x:c>
      <x:c r="B16" s="37" t="str">
        <x:v>P0常态</x:v>
      </x:c>
      <x:c r="C16" s="37" t="str">
        <x:v>员工</x:v>
      </x:c>
      <x:c r="D16" s="37" t="str">
        <x:v>nm_v2_agent_face_states</x:v>
      </x:c>
      <x:c r="E16" s="37" t="str">
        <x:v>员工四种面部叠层</x:v>
      </x:c>
      <x:c r="F16" s="37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四组五官共用眼鼻嘴基准；中性神情专注而舒适，恐慌与受伤明确但不鬼脸化，倒地仍为本日失去行动能力。</x:v>
      </x:c>
      <x:c r="G16" s="37" t="str">
        <x:v>简化可读的现代卡通人脸眉眼口，正常亲和、惊慌、受击、重伤闭眼四种表情；保持同一眼距与脸部挂点，透明覆盖层不带完整头。</x:v>
      </x:c>
      <x:c r="H16" s="43" t="n">
        <x:f>COUNTIF('逐张提示词'!$B$8:$B$314,A16)</x:f>
        <x:v>4</x:v>
      </x:c>
      <x:c r="I16" s="37" t="str">
        <x:v>运行拆件</x:v>
      </x:c>
      <x:c r="J16" s="37" t="str">
        <x:v>IDLE / PANICKED / HURT / INCAPACITATED</x:v>
      </x:c>
      <x:c r="K16" s="37" t="str">
        <x:v>1024×1024 px / 每张</x:v>
      </x:c>
      <x:c r="L16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6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16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6" s="37" t="str">
        <x:v>仅由现有真实员工状态/姿态渲染，不推进模拟。</x:v>
      </x:c>
      <x:c r="P16" s="37" t="str">
        <x:v>替换原四面部slot；不把低HP改为移速惩罚，不添加永久死亡或自动复活。</x:v>
      </x:c>
      <x:c r="Q16" s="37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16" s="37" t="str">
        <x:v>待生成／待接入</x:v>
      </x:c>
      <x:c r="S16" s="37" t="str">
        <x:v>STA_009</x:v>
      </x:c>
    </x:row>
    <x:row r="17" ht="114.75" customHeight="1">
      <x:c r="A17" s="38" t="str">
        <x:v>NMV2_STA_010</x:v>
      </x:c>
      <x:c r="B17" s="38" t="str">
        <x:v>P0常态</x:v>
      </x:c>
      <x:c r="C17" s="38" t="str">
        <x:v>员工</x:v>
      </x:c>
      <x:c r="D17" s="38" t="str">
        <x:v>nm_v2_agent_locomotion_reference</x:v>
      </x:c>
      <x:c r="E17" s="38" t="str">
        <x:v>员工待机/行走/换层参考</x:v>
      </x:c>
      <x:c r="F17" s="38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将两张呼吸参考合并为一个待机标准，双步态与双攀爬保留。 动作参考PNG仅指导后续分件动画，不是sprite帧、不是已经接入的动作；实际动画仍依赖pose.time/stride和真实状态，暂停时全部冻结。</x:v>
      </x:c>
      <x:c r="G17" s="38" t="str">
        <x:v>正常员工的放松待机、轻快但稳的左右支撑步态及楼梯交替支撑；脚底接地、手臂自然摆动，没有神经质扭曲或跑酷动作。</x:v>
      </x:c>
      <x:c r="H17" s="44" t="n">
        <x:f>COUNTIF('逐张提示词'!$B$8:$B$314,A17)</x:f>
        <x:v>5</x:v>
      </x:c>
      <x:c r="I17" s="38" t="str">
        <x:v>动作参考</x:v>
      </x:c>
      <x:c r="J17" s="38" t="str">
        <x:v>IDLE / MOVING / TRANSIT</x:v>
      </x:c>
      <x:c r="K17" s="38" t="str">
        <x:v>1024×1024 px / 每张</x:v>
      </x:c>
      <x:c r="L17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7" s="38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17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7" s="38" t="str">
        <x:v>IDLE/移动路径/TRANSIT区域的真实pose；正常撤退复用行走骨架。</x:v>
      </x:c>
      <x:c r="P17" s="38" t="str">
        <x:v>旧动作参考按新的现代比例重画，合并重复呼吸/回正参考。不得将PNG数量当作已完成帧数或自动新增业务状态。</x:v>
      </x:c>
      <x:c r="Q17" s="38" t="str">
        <x:v>缩至场内约66px高仍能辨认脸、手、足与姿态；肩肘膝连接无缝，脸不被发片/领口遮住；同角色朝左/右镜像不露断口；选中圈、HP/SP条由程序绘制并保持可见。 同一员工、朝向和地面线，单图只有一个完整姿势；动作幅度不暗示跳跃、传送、超速或治疗能力。</x:v>
      </x:c>
      <x:c r="R17" s="38" t="str">
        <x:v>待生成／待接入</x:v>
      </x:c>
      <x:c r="S17" s="38" t="str">
        <x:v>STA_010</x:v>
      </x:c>
    </x:row>
    <x:row r="18" ht="114.75" customHeight="1">
      <x:c r="A18" s="37" t="str">
        <x:v>NMV2_STA_011</x:v>
      </x:c>
      <x:c r="B18" s="37" t="str">
        <x:v>P0常态</x:v>
      </x:c>
      <x:c r="C18" s="37" t="str">
        <x:v>员工</x:v>
      </x:c>
      <x:c r="D18" s="37" t="str">
        <x:v>nm_v2_agent_work_reference</x:v>
      </x:c>
      <x:c r="E18" s="37" t="str">
        <x:v>员工到位与三类工作参考</x:v>
      </x:c>
      <x:c r="F18" s="37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工作位到达需有收步反馈；观察/互动/安抚各一张关键参考，回正由共享骨架插值。 动作参考PNG仅指导后续分件动画，不是sprite帧、不是已经接入的动作；实际动画仍依赖pose.time/stride和真实状态，暂停时全部冻结。</x:v>
      </x:c>
      <x:c r="G18" s="37" t="str">
        <x:v>现代研究员到达终端、查看平板、礼貌互动和安抚手势；动作克制、工作位清楚，不画同框第二个人或机器背景。</x:v>
      </x:c>
      <x:c r="H18" s="43" t="n">
        <x:f>COUNTIF('逐张提示词'!$B$8:$B$314,A18)</x:f>
        <x:v>4</x:v>
      </x:c>
      <x:c r="I18" s="37" t="str">
        <x:v>动作参考</x:v>
      </x:c>
      <x:c r="J18" s="37" t="str">
        <x:v>TRAVELLING→EXECUTING / OBSERVE / INTERACT / SOOTHE</x:v>
      </x:c>
      <x:c r="K18" s="37" t="str">
        <x:v>1024×1024 px / 每张</x:v>
      </x:c>
      <x:c r="L18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8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18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8" s="37" t="str">
        <x:v>现有WorkRuntime从TRAVELLING进入EXECUTING以及真实WorkType，不代表自动循环工作。</x:v>
      </x:c>
      <x:c r="P18" s="37" t="str">
        <x:v>旧动作参考按新的现代比例重画，合并重复呼吸/回正参考。不得将PNG数量当作已完成帧数或自动新增业务状态。</x:v>
      </x:c>
      <x:c r="Q18" s="37" t="str">
        <x:v>缩至场内约66px高仍能辨认脸、手、足与姿态；肩肘膝连接无缝，脸不被发片/领口遮住；同角色朝左/右镜像不露断口；选中圈、HP/SP条由程序绘制并保持可见。 同一员工、朝向和地面线，单图只有一个完整姿势；动作幅度不暗示跳跃、传送、超速或治疗能力。</x:v>
      </x:c>
      <x:c r="R18" s="37" t="str">
        <x:v>待生成／待接入</x:v>
      </x:c>
      <x:c r="S18" s="37" t="str">
        <x:v>STA_011</x:v>
      </x:c>
    </x:row>
    <x:row r="19" ht="114.75" customHeight="1">
      <x:c r="A19" s="38" t="str">
        <x:v>NMV2_STA_012</x:v>
      </x:c>
      <x:c r="B19" s="38" t="str">
        <x:v>P0常态</x:v>
      </x:c>
      <x:c r="C19" s="38" t="str">
        <x:v>员工</x:v>
      </x:c>
      <x:c r="D19" s="38" t="str">
        <x:v>nm_v2_agent_condition_reference</x:v>
      </x:c>
      <x:c r="E19" s="38" t="str">
        <x:v>员工受击/恐慌/撤退/恢复参考</x:v>
      </x:c>
      <x:c r="F19" s="38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低HP仅改变姿态，不改真实速度。正常撤退共用行走；恐慌撤退需抬手与急促重心反馈。恢复只对应安全区已有HP/SP恢复规则。 动作参考PNG仅指导后续分件动画，不是sprite帧、不是已经接入的动作；实际动画仍依赖pose.time/stride和真实状态，暂停时全部冻结。</x:v>
      </x:c>
      <x:c r="G19" s="38" t="str">
        <x:v>正常人的短促受击收缩、低HP护住身体、惊慌撤退、本日重伤倒地和存活员工安全区放松休整；不用伤口、尸体或复活仪式表达状态。</x:v>
      </x:c>
      <x:c r="H19" s="44" t="n">
        <x:f>COUNTIF('逐张提示词'!$B$8:$B$314,A19)</x:f>
        <x:v>5</x:v>
      </x:c>
      <x:c r="I19" s="38" t="str">
        <x:v>动作参考</x:v>
      </x:c>
      <x:c r="J19" s="38" t="str">
        <x:v>HURT / LOW_HP / PANICKED / INCAPACITATED / SAFE_RECOVERY</x:v>
      </x:c>
      <x:c r="K19" s="38" t="str">
        <x:v>1024×1024 px / 每张</x:v>
      </x:c>
      <x:c r="L19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9" s="38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19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9" s="38" t="str">
        <x:v>受击事件/HP比例、SP到恐慌阈值、RETREAT与真实SAFE停留；INCAPACITATED本日离场，恢复参考不用于将其自动唤醒。</x:v>
      </x:c>
      <x:c r="P19" s="38" t="str">
        <x:v>旧动作参考按新的现代比例重画，合并重复呼吸/回正参考。不得将PNG数量当作已完成帧数或自动新增业务状态。</x:v>
      </x:c>
      <x:c r="Q19" s="38" t="str">
        <x:v>缩至场内约66px高仍能辨认脸、手、足与姿态；肩肘膝连接无缝，脸不被发片/领口遮住；同角色朝左/右镜像不露断口；选中圈、HP/SP条由程序绘制并保持可见。 同一员工、朝向和地面线，单图只有一个完整姿势；动作幅度不暗示跳跃、传送、超速或治疗能力。</x:v>
      </x:c>
      <x:c r="R19" s="38" t="str">
        <x:v>待生成／待接入</x:v>
      </x:c>
      <x:c r="S19" s="38" t="str">
        <x:v>STA_012</x:v>
      </x:c>
    </x:row>
    <x:row r="20" ht="114.75" customHeight="1">
      <x:c r="A20" s="37" t="str">
        <x:v>NMV2_STA_013</x:v>
      </x:c>
      <x:c r="B20" s="37" t="str">
        <x:v>P0常态</x:v>
      </x:c>
      <x:c r="C20" s="37" t="str">
        <x:v>员工</x:v>
      </x:c>
      <x:c r="D20" s="37" t="str">
        <x:v>nm_v2_agent_attack_reference</x:v>
      </x:c>
      <x:c r="E20" s="37" t="str">
        <x:v>员工真实攻击三阶段参考</x:v>
      </x:c>
      <x:c r="F20" s="37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共用三阶段节奏与下肢重心，手臂方向按各武器握点适配为近战挥击或远程前举；不为每武器重复订整套人物动作。 动作参考PNG仅指导后续分件动画，不是sprite帧、不是已经接入的动作；实际动画仍依赖pose.time/stride和真实状态，暂停时全部冻结。</x:v>
      </x:c>
      <x:c r="G20" s="37" t="str">
        <x:v>现代员工握持短器械的收臂准备、向前出力和自然回收三个关键姿势；双脚支撑清楚，不借用士兵火力射击或魔法施法姿态。</x:v>
      </x:c>
      <x:c r="H20" s="43" t="n">
        <x:f>COUNTIF('逐张提示词'!$B$8:$B$314,A20)</x:f>
        <x:v>3</x:v>
      </x:c>
      <x:c r="I20" s="37" t="str">
        <x:v>动作参考</x:v>
      </x:c>
      <x:c r="J20" s="37" t="str">
        <x:v>SUPPRESSING / WINDUP / HIT / RECOVERY</x:v>
      </x:c>
      <x:c r="K20" s="37" t="str">
        <x:v>1024×1024 px / 每张</x:v>
      </x:c>
      <x:c r="L20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20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20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20" s="37" t="str">
        <x:v>真实attackPhase及impactRemaining；伤害、范围、前摇和攻击周期来自原config。</x:v>
      </x:c>
      <x:c r="P20" s="37" t="str">
        <x:v>旧动作参考按新的现代比例重画，合并重复呼吸/回正参考。不得将PNG数量当作已完成帧数或自动新增业务状态。</x:v>
      </x:c>
      <x:c r="Q20" s="37" t="str">
        <x:v>缩至场内约66px高仍能辨认脸、手、足与姿态；肩肘膝连接无缝，脸不被发片/领口遮住；同角色朝左/右镜像不露断口；选中圈、HP/SP条由程序绘制并保持可见。 同一员工、朝向和地面线，单图只有一个完整姿势；动作幅度不暗示跳跃、传送、超速或治疗能力。</x:v>
      </x:c>
      <x:c r="R20" s="37" t="str">
        <x:v>待生成／待接入</x:v>
      </x:c>
      <x:c r="S20" s="37" t="str">
        <x:v>STA_013</x:v>
      </x:c>
    </x:row>
    <x:row r="21" ht="114.75" customHeight="1">
      <x:c r="A21" s="38" t="str">
        <x:v>NMV2_ROLE_001</x:v>
      </x:c>
      <x:c r="B21" s="38" t="str">
        <x:v>P0常态</x:v>
      </x:c>
      <x:c r="C21" s="38" t="str">
        <x:v>职业外观</x:v>
      </x:c>
      <x:c r="D21" s="38" t="str">
        <x:v>nm_v2_role_identity_reference</x:v>
      </x:c>
      <x:c r="E21" s="38" t="str">
        <x:v>四类职业外观定稿</x:v>
      </x:c>
      <x:c r="F21" s="38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安全/研究/技术/医疗仅服装轮廓与局部色块区分，共用相同比例、发型池、动画与四属性规则。职业不写入EmployeeRuntime，不分配治疗/维修/镇压能力；E01—E06可混搭发型。</x:v>
      </x:c>
      <x:c r="G21" s="38" t="str">
        <x:v>同一员工基型上的四类现代机构工作装：轻便稳重安全员、冷白干净研究员、灰蓝工具袋技术员、白蓝舒适医疗员；职业只用服装轮廓与识别色区别。</x:v>
      </x:c>
      <x:c r="H21" s="44" t="n">
        <x:f>COUNTIF('逐张提示词'!$B$8:$B$314,A21)</x:f>
        <x:v>4</x:v>
      </x:c>
      <x:c r="I21" s="38" t="str">
        <x:v>定稿参考</x:v>
      </x:c>
      <x:c r="J21" s="38" t="str">
        <x:v>纯视觉身份 / IDLE</x:v>
      </x:c>
      <x:c r="K21" s="38" t="str">
        <x:v>1024×1024 px / 每张</x:v>
      </x:c>
      <x:c r="L21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21" s="38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21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21" s="38" t="str">
        <x:v>仅由现有真实员工状态/姿态渲染，不推进模拟。</x:v>
      </x:c>
      <x:c r="P21" s="38" t="str">
        <x:v>新增4张职业外观定稿，仅用于后续渲染映射；不新增职业枚举、职业数值或存档字段。研究员基型延续共用制服，但仍需独立确认轻文职气质。</x:v>
      </x:c>
      <x:c r="Q21" s="38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21" s="38" t="str">
        <x:v>待生成／待接入</x:v>
      </x:c>
      <x:c r="S21" s="38" t="str"/>
    </x:row>
    <x:row r="22" ht="114.75" customHeight="1">
      <x:c r="A22" s="37" t="str">
        <x:v>NMV2_ROLE_002</x:v>
      </x:c>
      <x:c r="B22" s="37" t="str">
        <x:v>P0常态</x:v>
      </x:c>
      <x:c r="C22" s="37" t="str">
        <x:v>职业外观</x:v>
      </x:c>
      <x:c r="D22" s="37" t="str">
        <x:v>nm_v2_role_security_parts</x:v>
      </x:c>
      <x:c r="E22" s="37" t="str">
        <x:v>安全员共用制服外观叠层</x:v>
      </x:c>
      <x:c r="F22" s="37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深蓝灰短外套与薄型胸护片、窄冷青边线，稳重但不过度装甲；只交躯干与近/远肩3件，手脚/发型/身体骨架共用。装备A01—A05的已装备躯干/肩片优先显示，职业不得与装备双重套壳。</x:v>
      </x:c>
      <x:c r="G22" s="37" t="str">
        <x:v>现代设施安全员的蓝灰轻防护背心和短肩层，稳重、灵活，不像士兵；与新版员工基型同肩宽、同腰线，六发型和手脚直接共用。</x:v>
      </x:c>
      <x:c r="H22" s="43" t="n">
        <x:f>COUNTIF('逐张提示词'!$B$8:$B$314,A22)</x:f>
        <x:v>3</x:v>
      </x:c>
      <x:c r="I22" s="37" t="str">
        <x:v>运行拆件</x:v>
      </x:c>
      <x:c r="J22" s="37" t="str">
        <x:v>纯视觉身份 / 全员工姿态</x:v>
      </x:c>
      <x:c r="K22" s="37" t="str">
        <x:v>1024×1024 px / 每张</x:v>
      </x:c>
      <x:c r="L22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22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22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22" s="37" t="str">
        <x:v>仅由现有真实员工状态/姿态渲染，不推进模拟。</x:v>
      </x:c>
      <x:c r="P22" s="37" t="str">
        <x:v>新增视觉皮肤3件；后续接入仅修改呈现映射，不能新增属性、治疗技能、资源产出或存档职业字段。专属防具覆盖相应皮肤部位。</x:v>
      </x:c>
      <x:c r="Q22" s="37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22" s="37" t="str">
        <x:v>待生成／待接入</x:v>
      </x:c>
      <x:c r="S22" s="37" t="str"/>
    </x:row>
    <x:row r="23" ht="114.75" customHeight="1">
      <x:c r="A23" s="38" t="str">
        <x:v>NMV2_ROLE_003</x:v>
      </x:c>
      <x:c r="B23" s="38" t="str">
        <x:v>P0常态</x:v>
      </x:c>
      <x:c r="C23" s="38" t="str">
        <x:v>职业外观</x:v>
      </x:c>
      <x:c r="D23" s="38" t="str">
        <x:v>nm_v2_role_research_parts</x:v>
      </x:c>
      <x:c r="E23" s="38" t="str">
        <x:v>研究员共用制服外观叠层</x:v>
      </x:c>
      <x:c r="F23" s="38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冷白轻科研外套与蓝灰内搭、柔和短翻领、无字工牌，袖口轻便；只交躯干与近/远肩3件，手脚/发型/身体骨架共用。装备A01—A05的已装备躯干/肩片优先显示，职业不得与装备双重套壳。</x:v>
      </x:c>
      <x:c r="G23" s="38" t="str">
        <x:v>现代研究员的冷白轻便短科研外套与蓝灰内搭，干净理性但亲和，不像特工；与新版员工基型同肩宽、同腰线，六发型和手脚直接共用。</x:v>
      </x:c>
      <x:c r="H23" s="44" t="n">
        <x:f>COUNTIF('逐张提示词'!$B$8:$B$314,A23)</x:f>
        <x:v>3</x:v>
      </x:c>
      <x:c r="I23" s="38" t="str">
        <x:v>运行拆件</x:v>
      </x:c>
      <x:c r="J23" s="38" t="str">
        <x:v>纯视觉身份 / 全员工姿态</x:v>
      </x:c>
      <x:c r="K23" s="38" t="str">
        <x:v>1024×1024 px / 每张</x:v>
      </x:c>
      <x:c r="L23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23" s="38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23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23" s="38" t="str">
        <x:v>仅由现有真实员工状态/姿态渲染，不推进模拟。</x:v>
      </x:c>
      <x:c r="P23" s="38" t="str">
        <x:v>新增视觉皮肤3件；后续接入仅修改呈现映射，不能新增属性、治疗技能、资源产出或存档职业字段。专属防具覆盖相应皮肤部位。</x:v>
      </x:c>
      <x:c r="Q23" s="38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23" s="38" t="str">
        <x:v>待生成／待接入</x:v>
      </x:c>
      <x:c r="S23" s="38" t="str"/>
    </x:row>
    <x:row r="24" ht="114.75" customHeight="1">
      <x:c r="A24" s="37" t="str">
        <x:v>NMV2_ROLE_004</x:v>
      </x:c>
      <x:c r="B24" s="37" t="str">
        <x:v>P0常态</x:v>
      </x:c>
      <x:c r="C24" s="37" t="str">
        <x:v>职业外观</x:v>
      </x:c>
      <x:c r="D24" s="37" t="str">
        <x:v>nm_v2_role_technical_parts</x:v>
      </x:c>
      <x:c r="E24" s="37" t="str">
        <x:v>技术员共用制服外观叠层</x:v>
      </x:c>
      <x:c r="F24" s="37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金属灰工作背心、冷青小口袋、腰部扁平工具收纳轮廓，现代整洁；只交躯干与近/远肩3件，手脚/发型/身体骨架共用。装备A01—A05的已装备躯干/肩片优先显示，职业不得与装备双重套壳。</x:v>
      </x:c>
      <x:c r="G24" s="37" t="str">
        <x:v>现代维护技术员的灰蓝短工装、并入躯干的扁平工具袋和小块冷青识别；与新版员工基型同肩宽、同腰线，六发型和手脚直接共用。</x:v>
      </x:c>
      <x:c r="H24" s="43" t="n">
        <x:f>COUNTIF('逐张提示词'!$B$8:$B$314,A24)</x:f>
        <x:v>3</x:v>
      </x:c>
      <x:c r="I24" s="37" t="str">
        <x:v>运行拆件</x:v>
      </x:c>
      <x:c r="J24" s="37" t="str">
        <x:v>纯视觉身份 / 全员工姿态</x:v>
      </x:c>
      <x:c r="K24" s="37" t="str">
        <x:v>1024×1024 px / 每张</x:v>
      </x:c>
      <x:c r="L24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24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24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24" s="37" t="str">
        <x:v>仅由现有真实员工状态/姿态渲染，不推进模拟。</x:v>
      </x:c>
      <x:c r="P24" s="37" t="str">
        <x:v>新增视觉皮肤3件；后续接入仅修改呈现映射，不能新增属性、治疗技能、资源产出或存档职业字段。专属防具覆盖相应皮肤部位。</x:v>
      </x:c>
      <x:c r="Q24" s="37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24" s="37" t="str">
        <x:v>待生成／待接入</x:v>
      </x:c>
      <x:c r="S24" s="37" t="str"/>
    </x:row>
    <x:row r="25" ht="114.75" customHeight="1">
      <x:c r="A25" s="38" t="str">
        <x:v>NMV2_ROLE_005</x:v>
      </x:c>
      <x:c r="B25" s="38" t="str">
        <x:v>P0常态</x:v>
      </x:c>
      <x:c r="C25" s="38" t="str">
        <x:v>职业外观</x:v>
      </x:c>
      <x:c r="D25" s="38" t="str">
        <x:v>nm_v2_role_medical_parts</x:v>
      </x:c>
      <x:c r="E25" s="38" t="str">
        <x:v>医疗员共用制服外观叠层</x:v>
      </x:c>
      <x:c r="F25" s="38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冷白与浅蓝短制服、圆角浅蓝支援识别块，舒适友好，不是治疗装置；只交躯干与近/远肩3件，手脚/发型/身体骨架共用。装备A01—A05的已装备躯干/肩片优先显示，职业不得与装备双重套壳。</x:v>
      </x:c>
      <x:c r="G25" s="38" t="str">
        <x:v>现代医疗支援人员的舒适白蓝短制服与圆角识别块，无治疗器械或功能特效；与新版员工基型同肩宽、同腰线，六发型和手脚直接共用。</x:v>
      </x:c>
      <x:c r="H25" s="44" t="n">
        <x:f>COUNTIF('逐张提示词'!$B$8:$B$314,A25)</x:f>
        <x:v>3</x:v>
      </x:c>
      <x:c r="I25" s="38" t="str">
        <x:v>运行拆件</x:v>
      </x:c>
      <x:c r="J25" s="38" t="str">
        <x:v>纯视觉身份 / 全员工姿态</x:v>
      </x:c>
      <x:c r="K25" s="38" t="str">
        <x:v>1024×1024 px / 每张</x:v>
      </x:c>
      <x:c r="L25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25" s="38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25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25" s="38" t="str">
        <x:v>仅由现有真实员工状态/姿态渲染，不推进模拟。</x:v>
      </x:c>
      <x:c r="P25" s="38" t="str">
        <x:v>新增视觉皮肤3件；后续接入仅修改呈现映射，不能新增属性、治疗技能、资源产出或存档职业字段。专属防具覆盖相应皮肤部位。</x:v>
      </x:c>
      <x:c r="Q25" s="38" t="str">
        <x:v>缩至场内约66px高仍能辨认脸、手、足与姿态；肩肘膝连接无缝，脸不被发片/领口遮住；同角色朝左/右镜像不露断口；选中圈、HP/SP条由程序绘制并保持可见。 检查文件名和units一一对应、真透明边缘无彩晕、主体无透明孔洞；拆件旋转后关节补全，单件没有多余相邻身体部位。</x:v>
      </x:c>
      <x:c r="R25" s="38" t="str">
        <x:v>待生成／待接入</x:v>
      </x:c>
      <x:c r="S25" s="38" t="str"/>
    </x:row>
    <x:row r="26" ht="129" customHeight="1">
      <x:c r="A26" s="37" t="str">
        <x:v>NMV2_ABN_N01_01</x:v>
      </x:c>
      <x:c r="B26" s="37" t="str">
        <x:v>P0常态</x:v>
      </x:c>
      <x:c r="C26" s="37" t="str">
        <x:v>收容物</x:v>
      </x:c>
      <x:c r="D26" s="37" t="str">
        <x:v>nm_v2_abn_nailong_calm_identity</x:v>
      </x:c>
      <x:c r="E26" s="37" t="str">
        <x:v>N01 奶龙｜常态定稿</x:v>
      </x:c>
      <x:c r="F26" s="37" t="str">
        <x:v>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常态不绘失效气泡、花屏或警报。</x:v>
      </x:c>
      <x:c r="G26" s="37" t="str">
        <x:v>圆润暖黄软胶玩偶与低龄动画吉祥物；奶白肚皮、短肢、圆眼、柔软尾巴，参考现代儿童内容的干净平面形状，避免恐怖版恐龙。 </x:v>
      </x:c>
      <x:c r="H26" s="43" t="n">
        <x:f>COUNTIF('逐张提示词'!$B$8:$B$314,A26)</x:f>
        <x:v>1</x:v>
      </x:c>
      <x:c r="I26" s="37" t="str">
        <x:v>定稿参考</x:v>
      </x:c>
      <x:c r="J26" s="37" t="str">
        <x:v>CONTAINED / 常态</x:v>
      </x:c>
      <x:c r="K26" s="37" t="str">
        <x:v>1024×1024 px / 每张</x:v>
      </x:c>
      <x:c r="L26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26" s="37" t="str">
        <x:v>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</x:v>
      </x:c>
      <x:c r="N26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26" s="37" t="str">
        <x:v>仅供常态新风格审批，运行图来自对应拆件。</x:v>
      </x:c>
      <x:c r="P26" s="37" t="str">
        <x:v>旧ABN_N01_01按新常态完全重画，只作比例与配色依据；不将定稿PNG当成运行实体。</x:v>
      </x:c>
      <x:c r="Q26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26" s="37" t="str">
        <x:v>待生成／待接入</x:v>
      </x:c>
      <x:c r="S26" s="37" t="str">
        <x:v>ABN_N01_01</x:v>
      </x:c>
    </x:row>
    <x:row r="27" ht="114.75" customHeight="1">
      <x:c r="A27" s="38" t="str">
        <x:v>NMV2_ABN_N01_02</x:v>
      </x:c>
      <x:c r="B27" s="38" t="str">
        <x:v>P0常态</x:v>
      </x:c>
      <x:c r="C27" s="38" t="str">
        <x:v>收容物</x:v>
      </x:c>
      <x:c r="D27" s="38" t="str">
        <x:v>nm_v2_abn_nailong_base_parts</x:v>
      </x:c>
      <x:c r="E27" s="38" t="str">
        <x:v>N01 奶龙｜共用运行拆件</x:v>
      </x:c>
      <x:c r="F27" s="38" t="str">
        <x:v>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旧ABN_N01_04的长颈、裂口、空眼替换为同体型常态9件加污染面部2件；保留短肢可动骨架。主形和分身只复用同一资源，定稿不得直接代替活动实体。 每张只画units当前部件，头部/脸层分离，不能把组内完整角色或其他部件带入本张。</x:v>
      </x:c>
      <x:c r="G27" s="38" t="str">
        <x:v>圆润暖黄软胶玩偶与低龄动画吉祥物；奶白肚皮、短肢、圆眼、柔软尾巴，参考现代儿童内容的干净平面形状，避免恐怖版恐龙。 以NMV2_ABN_N01_01的新常态定稿核对轮廓与配色。</x:v>
      </x:c>
      <x:c r="H27" s="44" t="n">
        <x:f>COUNTIF('逐张提示词'!$B$8:$B$314,A27)</x:f>
        <x:v>9</x:v>
      </x:c>
      <x:c r="I27" s="38" t="str">
        <x:v>运行拆件</x:v>
      </x:c>
      <x:c r="J27" s="38" t="str">
        <x:v>CONTAINED / WORKING / 失效共用躯体</x:v>
      </x:c>
      <x:c r="K27" s="38" t="str">
        <x:v>1024×1024 px / 每张</x:v>
      </x:c>
      <x:c r="L27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27" s="38" t="str">
        <x:v>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</x:v>
      </x:c>
      <x:c r="N27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27" s="38" t="str">
        <x:v>由真实实体姿态驱动部件；常态与失效复用同一躯体。工作时以实际room工作状态响应，无员工时不伪装产能。</x:v>
      </x:c>
      <x:c r="P27" s="38" t="str">
        <x:v>旧ABN_N01_04的长颈、裂口、空眼替换为同体型常态9件加污染面部2件；保留短肢可动骨架。主形和分身只复用同一资源，定稿不得直接代替活动实体。</x:v>
      </x:c>
      <x:c r="Q27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</x:v>
      </x:c>
      <x:c r="R27" s="38" t="str">
        <x:v>待生成／待接入</x:v>
      </x:c>
      <x:c r="S27" s="38" t="str">
        <x:v>ABN_N01_04</x:v>
      </x:c>
    </x:row>
    <x:row r="28" ht="129" customHeight="1">
      <x:c r="A28" s="37" t="str">
        <x:v>NMV2_ABN_N01_03</x:v>
      </x:c>
      <x:c r="B28" s="37" t="str">
        <x:v>P0常态</x:v>
      </x:c>
      <x:c r="C28" s="37" t="str">
        <x:v>收容物</x:v>
      </x:c>
      <x:c r="D28" s="37" t="str">
        <x:v>nm_v2_abn_nailong_work_reference</x:v>
      </x:c>
      <x:c r="E28" s="37" t="str">
        <x:v>N01 奶龙｜工作互动姿态参考</x:v>
      </x:c>
      <x:c r="F28" s="37" t="str">
        <x:v>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G28" s="37" t="str">
        <x:v>圆润暖黄软胶玩偶与低龄动画吉祥物；奶白肚皮、短肢、圆眼、柔软尾巴，参考现代儿童内容的干净平面形状，避免恐怖版恐龙。 参考温和的观察、回应或安抚互动；沿用NMV2_ABN_N01_01新造型，不画员工同框。</x:v>
      </x:c>
      <x:c r="H28" s="43" t="n">
        <x:f>COUNTIF('逐张提示词'!$B$8:$B$314,A28)</x:f>
        <x:v>2</x:v>
      </x:c>
      <x:c r="I28" s="37" t="str">
        <x:v>动作参考</x:v>
      </x:c>
      <x:c r="J28" s="37" t="str">
        <x:v>WORKING / OBSERVE / INTERACT / SOOTHE</x:v>
      </x:c>
      <x:c r="K28" s="37" t="str">
        <x:v>1024×1024 px / 每张</x:v>
      </x:c>
      <x:c r="L28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28" s="37" t="str">
        <x:v>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</x:v>
      </x:c>
      <x:c r="N28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28" s="37" t="str">
        <x:v>仅真实员工到位且工作执行时显示工作回应；失效/恢复期停止工作，不以参考动作结算产能。</x:v>
      </x:c>
      <x:c r="P28" s="37" t="str">
        <x:v>替换旧ABN_N01_02四张参考，收敛为两张功能互补姿势；完整动作由共用部件制作，回到待机无需新增PNG。</x:v>
      </x:c>
      <x:c r="Q28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28" s="37" t="str">
        <x:v>待生成／待接入</x:v>
      </x:c>
      <x:c r="S28" s="37" t="str">
        <x:v>ABN_N01_02</x:v>
      </x:c>
    </x:row>
    <x:row r="29" ht="129" customHeight="1">
      <x:c r="A29" s="38" t="str">
        <x:v>NMV2_ABN_N02_01</x:v>
      </x:c>
      <x:c r="B29" s="38" t="str">
        <x:v>P0常态</x:v>
      </x:c>
      <x:c r="C29" s="38" t="str">
        <x:v>收容物</x:v>
      </x:c>
      <x:c r="D29" s="38" t="str">
        <x:v>nm_v2_abn_maodie_calm_identity</x:v>
      </x:c>
      <x:c r="E29" s="38" t="str">
        <x:v>N02 耄耋｜常态定稿</x:v>
      </x:c>
      <x:c r="F29" s="38" t="str">
        <x:v>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常态不绘失效气泡、花屏或警报。</x:v>
      </x:c>
      <x:c r="G29" s="38" t="str">
        <x:v>暖灰短毛猫的三角耳、圆角方脸与翘尾；结合情绪表情包里不耐烦、震惊、气鼓鼓的眉眼，使用简洁扁平色块和脏粉耳内色。 </x:v>
      </x:c>
      <x:c r="H29" s="44" t="n">
        <x:f>COUNTIF('逐张提示词'!$B$8:$B$314,A29)</x:f>
        <x:v>1</x:v>
      </x:c>
      <x:c r="I29" s="38" t="str">
        <x:v>定稿参考</x:v>
      </x:c>
      <x:c r="J29" s="38" t="str">
        <x:v>CONTAINED / 常态</x:v>
      </x:c>
      <x:c r="K29" s="38" t="str">
        <x:v>1024×1024 px / 每张</x:v>
      </x:c>
      <x:c r="L29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29" s="38" t="str">
        <x:v>根在两只后足地面中点；1024×1024装配母版(512,896)，朝右；颈、肩、后腿根、尾根和脸层分别记录pivot。污染只换脸层，肢体长度和足底不变。</x:v>
      </x:c>
      <x:c r="N29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29" s="38" t="str">
        <x:v>仅供常态新风格审批，运行图来自对应拆件。</x:v>
      </x:c>
      <x:c r="P29" s="38" t="str">
        <x:v>旧ABN_N02_01按新常态完全重画，只作比例与配色依据；不将定稿PNG当成运行实体。</x:v>
      </x:c>
      <x:c r="Q29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29" s="38" t="str">
        <x:v>待生成／待接入</x:v>
      </x:c>
      <x:c r="S29" s="38" t="str">
        <x:v>ABN_N02_01</x:v>
      </x:c>
    </x:row>
    <x:row r="30" ht="114.75" customHeight="1">
      <x:c r="A30" s="37" t="str">
        <x:v>NMV2_ABN_N02_02</x:v>
      </x:c>
      <x:c r="B30" s="37" t="str">
        <x:v>P0常态</x:v>
      </x:c>
      <x:c r="C30" s="37" t="str">
        <x:v>收容物</x:v>
      </x:c>
      <x:c r="D30" s="37" t="str">
        <x:v>nm_v2_abn_maodie_base_parts</x:v>
      </x:c>
      <x:c r="E30" s="37" t="str">
        <x:v>N02 耄耋｜共用运行拆件</x:v>
      </x:c>
      <x:c r="F30" s="37" t="str">
        <x:v>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旧ABN_N02_04的失效长肢与恐怖头不再使用；常态8件复用到失效，只增加1张情绪脸层。耳、尾与正常短肢负责轮廓，不靠拉长肢体区分状态。 每张只画units当前部件，头部/脸层分离，不能把组内完整角色或其他部件带入本张。</x:v>
      </x:c>
      <x:c r="G30" s="37" t="str">
        <x:v>暖灰短毛猫的三角耳、圆角方脸与翘尾；结合情绪表情包里不耐烦、震惊、气鼓鼓的眉眼，使用简洁扁平色块和脏粉耳内色。 以NMV2_ABN_N02_01的新常态定稿核对轮廓与配色。</x:v>
      </x:c>
      <x:c r="H30" s="43" t="n">
        <x:f>COUNTIF('逐张提示词'!$B$8:$B$314,A30)</x:f>
        <x:v>8</x:v>
      </x:c>
      <x:c r="I30" s="37" t="str">
        <x:v>运行拆件</x:v>
      </x:c>
      <x:c r="J30" s="37" t="str">
        <x:v>CONTAINED / WORKING / 失效共用躯体</x:v>
      </x:c>
      <x:c r="K30" s="37" t="str">
        <x:v>1024×1024 px / 每张</x:v>
      </x:c>
      <x:c r="L30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30" s="37" t="str">
        <x:v>根在两只后足地面中点；1024×1024装配母版(512,896)，朝右；颈、肩、后腿根、尾根和脸层分别记录pivot。污染只换脸层，肢体长度和足底不变。</x:v>
      </x:c>
      <x:c r="N30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30" s="37" t="str">
        <x:v>由真实实体姿态驱动部件；常态与失效复用同一躯体。工作时以实际room工作状态响应，无员工时不伪装产能。</x:v>
      </x:c>
      <x:c r="P30" s="37" t="str">
        <x:v>旧ABN_N02_04的失效长肢与恐怖头不再使用；常态8件复用到失效，只增加1张情绪脸层。耳、尾与正常短肢负责轮廓，不靠拉长肢体区分状态。</x:v>
      </x:c>
      <x:c r="Q30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</x:v>
      </x:c>
      <x:c r="R30" s="37" t="str">
        <x:v>待生成／待接入</x:v>
      </x:c>
      <x:c r="S30" s="37" t="str">
        <x:v>ABN_N02_04</x:v>
      </x:c>
    </x:row>
    <x:row r="31" ht="129" customHeight="1">
      <x:c r="A31" s="38" t="str">
        <x:v>NMV2_ABN_N02_03</x:v>
      </x:c>
      <x:c r="B31" s="38" t="str">
        <x:v>P0常态</x:v>
      </x:c>
      <x:c r="C31" s="38" t="str">
        <x:v>收容物</x:v>
      </x:c>
      <x:c r="D31" s="38" t="str">
        <x:v>nm_v2_abn_maodie_work_reference</x:v>
      </x:c>
      <x:c r="E31" s="38" t="str">
        <x:v>N02 耄耋｜工作互动姿态参考</x:v>
      </x:c>
      <x:c r="F31" s="38" t="str">
        <x:v>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G31" s="38" t="str">
        <x:v>暖灰短毛猫的三角耳、圆角方脸与翘尾；结合情绪表情包里不耐烦、震惊、气鼓鼓的眉眼，使用简洁扁平色块和脏粉耳内色。 参考温和的观察、回应或安抚互动；沿用NMV2_ABN_N02_01新造型，不画员工同框。</x:v>
      </x:c>
      <x:c r="H31" s="44" t="n">
        <x:f>COUNTIF('逐张提示词'!$B$8:$B$314,A31)</x:f>
        <x:v>2</x:v>
      </x:c>
      <x:c r="I31" s="38" t="str">
        <x:v>动作参考</x:v>
      </x:c>
      <x:c r="J31" s="38" t="str">
        <x:v>WORKING / OBSERVE / INTERACT / SOOTHE</x:v>
      </x:c>
      <x:c r="K31" s="38" t="str">
        <x:v>1024×1024 px / 每张</x:v>
      </x:c>
      <x:c r="L31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31" s="38" t="str">
        <x:v>根在两只后足地面中点；1024×1024装配母版(512,896)，朝右；颈、肩、后腿根、尾根和脸层分别记录pivot。污染只换脸层，肢体长度和足底不变。</x:v>
      </x:c>
      <x:c r="N31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31" s="38" t="str">
        <x:v>仅真实员工到位且工作执行时显示工作回应；失效/恢复期停止工作，不以参考动作结算产能。</x:v>
      </x:c>
      <x:c r="P31" s="38" t="str">
        <x:v>替换旧ABN_N02_02四张参考，收敛为两张功能互补姿势；完整动作由共用部件制作，回到待机无需新增PNG。</x:v>
      </x:c>
      <x:c r="Q31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31" s="38" t="str">
        <x:v>待生成／待接入</x:v>
      </x:c>
      <x:c r="S31" s="38" t="str">
        <x:v>ABN_N02_02</x:v>
      </x:c>
    </x:row>
    <x:row r="32" ht="129" customHeight="1">
      <x:c r="A32" s="37" t="str">
        <x:v>NMV2_ABN_N03_01</x:v>
      </x:c>
      <x:c r="B32" s="37" t="str">
        <x:v>P0常态</x:v>
      </x:c>
      <x:c r="C32" s="37" t="str">
        <x:v>收容物</x:v>
      </x:c>
      <x:c r="D32" s="37" t="str">
        <x:v>nm_v2_abn_big_dog_calm_identity</x:v>
      </x:c>
      <x:c r="E32" s="37" t="str">
        <x:v>N03 大狗｜常态定稿</x:v>
      </x:c>
      <x:c r="F32" s="37" t="str">
        <x:v>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常态不绘失效气泡、花屏或警报。</x:v>
      </x:c>
      <x:c r="G32" s="37" t="str">
        <x:v>友好大型垂耳犬、红橙配粉白的现代吉祥物造型；宽圆口鼻和摇尾轮廓，参考直播应援的高兴表情，不参考张裂巨口或阴森犬兽。 </x:v>
      </x:c>
      <x:c r="H32" s="43" t="n">
        <x:f>COUNTIF('逐张提示词'!$B$8:$B$314,A32)</x:f>
        <x:v>1</x:v>
      </x:c>
      <x:c r="I32" s="37" t="str">
        <x:v>定稿参考</x:v>
      </x:c>
      <x:c r="J32" s="37" t="str">
        <x:v>CONTAINED / 常态</x:v>
      </x:c>
      <x:c r="K32" s="37" t="str">
        <x:v>1536×1024 px / 每张</x:v>
      </x:c>
      <x:c r="L32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32" s="37" t="str">
        <x:v>根在四足支撑面地面中心；1536×1024装配母版(768,896)，朝右。记录颈根、上下口鼻铰点、舌根、前/后腿根、尾根和项圈挂点。前腿/后腿各一张源件，可按既有前后层重复实例并遮挡，不能因此增加游戏实体。</x:v>
      </x:c>
      <x:c r="N32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32" s="37" t="str">
        <x:v>仅供常态新风格审批，运行图来自对应拆件。</x:v>
      </x:c>
      <x:c r="P32" s="37" t="str">
        <x:v>旧ABN_N03_01按新常态完全重画，只作比例与配色依据；不将定稿PNG当成运行实体。</x:v>
      </x:c>
      <x:c r="Q32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32" s="37" t="str">
        <x:v>待生成／待接入</x:v>
      </x:c>
      <x:c r="S32" s="37" t="str">
        <x:v>ABN_N03_01</x:v>
      </x:c>
    </x:row>
    <x:row r="33" ht="114.75" customHeight="1">
      <x:c r="A33" s="38" t="str">
        <x:v>NMV2_ABN_N03_02</x:v>
      </x:c>
      <x:c r="B33" s="38" t="str">
        <x:v>P0常态</x:v>
      </x:c>
      <x:c r="C33" s="38" t="str">
        <x:v>收容物</x:v>
      </x:c>
      <x:c r="D33" s="38" t="str">
        <x:v>nm_v2_abn_big_dog_base_parts</x:v>
      </x:c>
      <x:c r="E33" s="38" t="str">
        <x:v>N03 大狗｜共用运行拆件</x:v>
      </x:c>
      <x:c r="F33" s="38" t="str">
        <x:v>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沿用旧ABN_N03_04十件的功能槽数，重新画干净常态犬体；上下口鼻保留正常尺度，新增1张兴奋眼层替换眼睛。原图棕雾/背景不继承。 每张只画units当前部件，头部/脸层分离，不能把组内完整角色或其他部件带入本张。</x:v>
      </x:c>
      <x:c r="G33" s="38" t="str">
        <x:v>友好大型垂耳犬、红橙配粉白的现代吉祥物造型；宽圆口鼻和摇尾轮廓，参考直播应援的高兴表情，不参考张裂巨口或阴森犬兽。 以NMV2_ABN_N03_01的新常态定稿核对轮廓与配色。</x:v>
      </x:c>
      <x:c r="H33" s="44" t="n">
        <x:f>COUNTIF('逐张提示词'!$B$8:$B$314,A33)</x:f>
        <x:v>10</x:v>
      </x:c>
      <x:c r="I33" s="38" t="str">
        <x:v>运行拆件</x:v>
      </x:c>
      <x:c r="J33" s="38" t="str">
        <x:v>CONTAINED / WORKING / 失效共用躯体</x:v>
      </x:c>
      <x:c r="K33" s="38" t="str">
        <x:v>1536×1024 px / 每张</x:v>
      </x:c>
      <x:c r="L33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33" s="38" t="str">
        <x:v>根在四足支撑面地面中心；1536×1024装配母版(768,896)，朝右。记录颈根、上下口鼻铰点、舌根、前/后腿根、尾根和项圈挂点。前腿/后腿各一张源件，可按既有前后层重复实例并遮挡，不能因此增加游戏实体。</x:v>
      </x:c>
      <x:c r="N33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33" s="38" t="str">
        <x:v>由真实实体姿态驱动部件；常态与失效复用同一躯体。工作时以实际room工作状态响应，无员工时不伪装产能。</x:v>
      </x:c>
      <x:c r="P33" s="38" t="str">
        <x:v>沿用旧ABN_N03_04十件的功能槽数，重新画干净常态犬体；上下口鼻保留正常尺度，新增1张兴奋眼层替换眼睛。原图棕雾/背景不继承。</x:v>
      </x:c>
      <x:c r="Q33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</x:v>
      </x:c>
      <x:c r="R33" s="38" t="str">
        <x:v>待生成／待接入</x:v>
      </x:c>
      <x:c r="S33" s="38" t="str">
        <x:v>ABN_N03_04</x:v>
      </x:c>
    </x:row>
    <x:row r="34" ht="129" customHeight="1">
      <x:c r="A34" s="37" t="str">
        <x:v>NMV2_ABN_N03_03</x:v>
      </x:c>
      <x:c r="B34" s="37" t="str">
        <x:v>P0常态</x:v>
      </x:c>
      <x:c r="C34" s="37" t="str">
        <x:v>收容物</x:v>
      </x:c>
      <x:c r="D34" s="37" t="str">
        <x:v>nm_v2_abn_big_dog_work_reference</x:v>
      </x:c>
      <x:c r="E34" s="37" t="str">
        <x:v>N03 大狗｜工作互动姿态参考</x:v>
      </x:c>
      <x:c r="F34" s="37" t="str">
        <x:v>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G34" s="37" t="str">
        <x:v>友好大型垂耳犬、红橙配粉白的现代吉祥物造型；宽圆口鼻和摇尾轮廓，参考直播应援的高兴表情，不参考张裂巨口或阴森犬兽。 参考温和的观察、回应或安抚互动；沿用NMV2_ABN_N03_01新造型，不画员工同框。</x:v>
      </x:c>
      <x:c r="H34" s="43" t="n">
        <x:f>COUNTIF('逐张提示词'!$B$8:$B$314,A34)</x:f>
        <x:v>2</x:v>
      </x:c>
      <x:c r="I34" s="37" t="str">
        <x:v>动作参考</x:v>
      </x:c>
      <x:c r="J34" s="37" t="str">
        <x:v>WORKING / OBSERVE / INTERACT / SOOTHE</x:v>
      </x:c>
      <x:c r="K34" s="37" t="str">
        <x:v>1536×1024 px / 每张</x:v>
      </x:c>
      <x:c r="L34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34" s="37" t="str">
        <x:v>根在四足支撑面地面中心；1536×1024装配母版(768,896)，朝右。记录颈根、上下口鼻铰点、舌根、前/后腿根、尾根和项圈挂点。前腿/后腿各一张源件，可按既有前后层重复实例并遮挡，不能因此增加游戏实体。</x:v>
      </x:c>
      <x:c r="N34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34" s="37" t="str">
        <x:v>仅真实员工到位且工作执行时显示工作回应；失效/恢复期停止工作，不以参考动作结算产能。</x:v>
      </x:c>
      <x:c r="P34" s="37" t="str">
        <x:v>替换旧ABN_N03_02四张参考，收敛为两张功能互补姿势；完整动作由共用部件制作，回到待机无需新增PNG。</x:v>
      </x:c>
      <x:c r="Q34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34" s="37" t="str">
        <x:v>待生成／待接入</x:v>
      </x:c>
      <x:c r="S34" s="37" t="str">
        <x:v>ABN_N03_02</x:v>
      </x:c>
    </x:row>
    <x:row r="35" ht="129" customHeight="1">
      <x:c r="A35" s="38" t="str">
        <x:v>NMV2_ABN_N04_01</x:v>
      </x:c>
      <x:c r="B35" s="38" t="str">
        <x:v>P0常态</x:v>
      </x:c>
      <x:c r="C35" s="38" t="str">
        <x:v>收容物</x:v>
      </x:c>
      <x:c r="D35" s="38" t="str">
        <x:v>nm_v2_abn_dingdong_chicken_calm_identity</x:v>
      </x:c>
      <x:c r="E35" s="38" t="str">
        <x:v>N04 叮咚鸡｜常态定稿</x:v>
      </x:c>
      <x:c r="F35" s="38" t="str">
        <x:v>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常态不绘失效气泡、花屏或警报。</x:v>
      </x:c>
      <x:c r="G35" s="38" t="str">
        <x:v>现代音频应用通知徽章与明黄鸡形吉祥物；清楚鸡冠、短喙、尾羽和圆角胸牌，参考播报员准备说话的头部动作，非机械钟表或黄铜机器人。 </x:v>
      </x:c>
      <x:c r="H35" s="44" t="n">
        <x:f>COUNTIF('逐张提示词'!$B$8:$B$314,A35)</x:f>
        <x:v>1</x:v>
      </x:c>
      <x:c r="I35" s="38" t="str">
        <x:v>定稿参考</x:v>
      </x:c>
      <x:c r="J35" s="38" t="str">
        <x:v>CONTAINED / 常态</x:v>
      </x:c>
      <x:c r="K35" s="38" t="str">
        <x:v>1024×1024 px / 每张</x:v>
      </x:c>
      <x:c r="L35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35" s="38" t="str">
        <x:v>根在双足地面中点；1024×1024装配母版(512,896)，朝右。记录颈根、上下喙铰点、翅根、尾根、腿根和胸前徽章固定点。失效本体仍驻留原入口，不为演出添加巡游。</x:v>
      </x:c>
      <x:c r="N35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35" s="38" t="str">
        <x:v>仅供常态新风格审批，运行图来自对应拆件。</x:v>
      </x:c>
      <x:c r="P35" s="38" t="str">
        <x:v>旧ABN_N04_01按新常态完全重画，只作比例与配色依据；不将定稿PNG当成运行实体。</x:v>
      </x:c>
      <x:c r="Q35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35" s="38" t="str">
        <x:v>待生成／待接入</x:v>
      </x:c>
      <x:c r="S35" s="38" t="str">
        <x:v>ABN_N04_01</x:v>
      </x:c>
    </x:row>
    <x:row r="36" ht="114.75" customHeight="1">
      <x:c r="A36" s="37" t="str">
        <x:v>NMV2_ABN_N04_02</x:v>
      </x:c>
      <x:c r="B36" s="37" t="str">
        <x:v>P0常态</x:v>
      </x:c>
      <x:c r="C36" s="37" t="str">
        <x:v>收容物</x:v>
      </x:c>
      <x:c r="D36" s="37" t="str">
        <x:v>nm_v2_abn_dingdong_chicken_base_parts</x:v>
      </x:c>
      <x:c r="E36" s="37" t="str">
        <x:v>N04 叮咚鸡｜共用运行拆件</x:v>
      </x:c>
      <x:c r="F36" s="37" t="str">
        <x:v>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旧ABN_N04_04的clock_shell/长短指针三件停用，改为1张现代通知胸牌；常态总10件，另1张局部循环提示层。保持本体驻点广播，不把定稿动作解释为新移动能力。 每张只画units当前部件，头部/脸层分离，不能把组内完整角色或其他部件带入本张。</x:v>
      </x:c>
      <x:c r="G36" s="37" t="str">
        <x:v>现代音频应用通知徽章与明黄鸡形吉祥物；清楚鸡冠、短喙、尾羽和圆角胸牌，参考播报员准备说话的头部动作，非机械钟表或黄铜机器人。 以NMV2_ABN_N04_01的新常态定稿核对轮廓与配色。</x:v>
      </x:c>
      <x:c r="H36" s="43" t="n">
        <x:f>COUNTIF('逐张提示词'!$B$8:$B$314,A36)</x:f>
        <x:v>10</x:v>
      </x:c>
      <x:c r="I36" s="37" t="str">
        <x:v>运行拆件</x:v>
      </x:c>
      <x:c r="J36" s="37" t="str">
        <x:v>CONTAINED / WORKING / 失效共用躯体</x:v>
      </x:c>
      <x:c r="K36" s="37" t="str">
        <x:v>1024×1024 px / 每张</x:v>
      </x:c>
      <x:c r="L36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36" s="37" t="str">
        <x:v>根在双足地面中点；1024×1024装配母版(512,896)，朝右。记录颈根、上下喙铰点、翅根、尾根、腿根和胸前徽章固定点。失效本体仍驻留原入口，不为演出添加巡游。</x:v>
      </x:c>
      <x:c r="N36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36" s="37" t="str">
        <x:v>由真实实体姿态驱动部件；常态与失效复用同一躯体。工作时以实际room工作状态响应，无员工时不伪装产能。</x:v>
      </x:c>
      <x:c r="P36" s="37" t="str">
        <x:v>旧ABN_N04_04的clock_shell/长短指针三件停用，改为1张现代通知胸牌；常态总10件，另1张局部循环提示层。保持本体驻点广播，不把定稿动作解释为新移动能力。</x:v>
      </x:c>
      <x:c r="Q36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</x:v>
      </x:c>
      <x:c r="R36" s="37" t="str">
        <x:v>待生成／待接入</x:v>
      </x:c>
      <x:c r="S36" s="37" t="str">
        <x:v>ABN_N04_04</x:v>
      </x:c>
    </x:row>
    <x:row r="37" ht="129" customHeight="1">
      <x:c r="A37" s="38" t="str">
        <x:v>NMV2_ABN_N04_03</x:v>
      </x:c>
      <x:c r="B37" s="38" t="str">
        <x:v>P0常态</x:v>
      </x:c>
      <x:c r="C37" s="38" t="str">
        <x:v>收容物</x:v>
      </x:c>
      <x:c r="D37" s="38" t="str">
        <x:v>nm_v2_abn_dingdong_chicken_work_reference</x:v>
      </x:c>
      <x:c r="E37" s="38" t="str">
        <x:v>N04 叮咚鸡｜工作互动姿态参考</x:v>
      </x:c>
      <x:c r="F37" s="38" t="str">
        <x:v>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G37" s="38" t="str">
        <x:v>现代音频应用通知徽章与明黄鸡形吉祥物；清楚鸡冠、短喙、尾羽和圆角胸牌，参考播报员准备说话的头部动作，非机械钟表或黄铜机器人。 参考温和的观察、回应或安抚互动；沿用NMV2_ABN_N04_01新造型，不画员工同框。</x:v>
      </x:c>
      <x:c r="H37" s="44" t="n">
        <x:f>COUNTIF('逐张提示词'!$B$8:$B$314,A37)</x:f>
        <x:v>2</x:v>
      </x:c>
      <x:c r="I37" s="38" t="str">
        <x:v>动作参考</x:v>
      </x:c>
      <x:c r="J37" s="38" t="str">
        <x:v>WORKING / OBSERVE / INTERACT / SOOTHE</x:v>
      </x:c>
      <x:c r="K37" s="38" t="str">
        <x:v>1024×1024 px / 每张</x:v>
      </x:c>
      <x:c r="L37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37" s="38" t="str">
        <x:v>根在双足地面中点；1024×1024装配母版(512,896)，朝右。记录颈根、上下喙铰点、翅根、尾根、腿根和胸前徽章固定点。失效本体仍驻留原入口，不为演出添加巡游。</x:v>
      </x:c>
      <x:c r="N37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37" s="38" t="str">
        <x:v>仅真实员工到位且工作执行时显示工作回应；失效/恢复期停止工作，不以参考动作结算产能。</x:v>
      </x:c>
      <x:c r="P37" s="38" t="str">
        <x:v>替换旧ABN_N04_02四张参考，收敛为两张功能互补姿势；完整动作由共用部件制作，回到待机无需新增PNG。</x:v>
      </x:c>
      <x:c r="Q37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37" s="38" t="str">
        <x:v>待生成／待接入</x:v>
      </x:c>
      <x:c r="S37" s="38" t="str">
        <x:v>ABN_N04_02</x:v>
      </x:c>
    </x:row>
    <x:row r="38" ht="129" customHeight="1">
      <x:c r="A38" s="37" t="str">
        <x:v>NMV2_ABN_N05_01</x:v>
      </x:c>
      <x:c r="B38" s="37" t="str">
        <x:v>P0常态</x:v>
      </x:c>
      <x:c r="C38" s="37" t="str">
        <x:v>收容物</x:v>
      </x:c>
      <x:c r="D38" s="37" t="str">
        <x:v>nm_v2_abn_gugu_gaga_calm_identity</x:v>
      </x:c>
      <x:c r="E38" s="37" t="str">
        <x:v>N05 咕咕嘎嘎｜常态定稿</x:v>
      </x:c>
      <x:c r="F38" s="37" t="str">
        <x:v>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常态不绘失效气泡、花屏或警报。</x:v>
      </x:c>
      <x:c r="G38" s="37" t="str">
        <x:v>浅蓝粉白软玩偶式企鹅、儿童拟声动画的情绪表情和轻软短围巾；保留正常眼球、短喙、短鳍，避免黑洞眼、错位长颈与阴冷幽灵形态。 </x:v>
      </x:c>
      <x:c r="H38" s="43" t="n">
        <x:f>COUNTIF('逐张提示词'!$B$8:$B$314,A38)</x:f>
        <x:v>1</x:v>
      </x:c>
      <x:c r="I38" s="37" t="str">
        <x:v>定稿参考</x:v>
      </x:c>
      <x:c r="J38" s="37" t="str">
        <x:v>CONTAINED / 常态</x:v>
      </x:c>
      <x:c r="K38" s="37" t="str">
        <x:v>1024×1024 px / 每张</x:v>
      </x:c>
      <x:c r="L38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38" s="37" t="str">
        <x:v>根在双足地面中点；1024×1024装配母版(512,896)，朝右；记录头根、上下喙铰点、双鳍根、足根、围巾领口和长短垂片挂点。巡游根位移由实际路径提供，演出不得漂移或拉长身体。</x:v>
      </x:c>
      <x:c r="N38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38" s="37" t="str">
        <x:v>仅供常态新风格审批，运行图来自对应拆件。</x:v>
      </x:c>
      <x:c r="P38" s="37" t="str">
        <x:v>旧ABN_N05_01按新常态完全重画，只作比例与配色依据；不将定稿PNG当成运行实体。</x:v>
      </x:c>
      <x:c r="Q38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38" s="37" t="str">
        <x:v>待生成／待接入</x:v>
      </x:c>
      <x:c r="S38" s="37" t="str">
        <x:v>ABN_N05_01</x:v>
      </x:c>
    </x:row>
    <x:row r="39" ht="114.75" customHeight="1">
      <x:c r="A39" s="38" t="str">
        <x:v>NMV2_ABN_N05_02</x:v>
      </x:c>
      <x:c r="B39" s="38" t="str">
        <x:v>P0常态</x:v>
      </x:c>
      <x:c r="C39" s="38" t="str">
        <x:v>收容物</x:v>
      </x:c>
      <x:c r="D39" s="38" t="str">
        <x:v>nm_v2_abn_gugu_gaga_base_parts</x:v>
      </x:c>
      <x:c r="E39" s="38" t="str">
        <x:v>N05 咕咕嘎嘎｜共用运行拆件</x:v>
      </x:c>
      <x:c r="F39" s="38" t="str">
        <x:v>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</x:v>
      </x:c>
      <x:c r="G39" s="38" t="str"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H39" s="44" t="n">
        <x:f>COUNTIF('逐张提示词'!$B$8:$B$314,A39)</x:f>
        <x:v>12</x:v>
      </x:c>
      <x:c r="I39" s="38" t="str">
        <x:v>运行拆件</x:v>
      </x:c>
      <x:c r="J39" s="38" t="str">
        <x:v>CONTAINED / WORKING / 失效共用躯体</x:v>
      </x:c>
      <x:c r="K39" s="38" t="str">
        <x:v>1024×1024 px / 每张</x:v>
      </x:c>
      <x:c r="L39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39" s="38" t="str">
        <x:v>根在双足地面中点；1024×1024装配母版(512,896)，朝右；记录头根、上下喙铰点、双鳍根、足根、围巾领口和长短垂片挂点。巡游根位移由实际路径提供，演出不得漂移或拉长身体。</x:v>
      </x:c>
      <x:c r="N39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39" s="38" t="str">
        <x:v>由真实实体姿态驱动部件；常态与失效复用同一躯体。工作时以实际room工作状态响应，无员工时不伪装产能。</x:v>
      </x:c>
      <x:c r="P39" s="38" t="str">
        <x:v>旧ABN_N05_04的恐怖拉伸与空眼停用；共用正常12件，闭合嘴改成普通上下喙铰接，另1张哭闹眼层。围巾三件沿用槽位，仅换现代软材质；残影由外部效果实现，不另生成多实体。</x:v>
      </x:c>
      <x:c r="Q39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</x:v>
      </x:c>
      <x:c r="R39" s="38" t="str">
        <x:v>待生成／待接入</x:v>
      </x:c>
      <x:c r="S39" s="38" t="str">
        <x:v>ABN_N05_04</x:v>
      </x:c>
    </x:row>
    <x:row r="40" ht="129" customHeight="1">
      <x:c r="A40" s="37" t="str">
        <x:v>NMV2_ABN_N05_03</x:v>
      </x:c>
      <x:c r="B40" s="37" t="str">
        <x:v>P0常态</x:v>
      </x:c>
      <x:c r="C40" s="37" t="str">
        <x:v>收容物</x:v>
      </x:c>
      <x:c r="D40" s="37" t="str">
        <x:v>nm_v2_abn_gugu_gaga_work_reference</x:v>
      </x:c>
      <x:c r="E40" s="37" t="str">
        <x:v>N05 咕咕嘎嘎｜工作互动姿态参考</x:v>
      </x:c>
      <x:c r="F40" s="37" t="str">
        <x:v>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G40" s="37" t="str">
        <x:v>浅蓝粉白软玩偶式企鹅、儿童拟声动画的情绪表情和轻软短围巾；保留正常眼球、短喙、短鳍，避免黑洞眼、错位长颈与阴冷幽灵形态。 参考温和的观察、回应或安抚互动；沿用NMV2_ABN_N05_01新造型，不画员工同框。</x:v>
      </x:c>
      <x:c r="H40" s="43" t="n">
        <x:f>COUNTIF('逐张提示词'!$B$8:$B$314,A40)</x:f>
        <x:v>2</x:v>
      </x:c>
      <x:c r="I40" s="37" t="str">
        <x:v>动作参考</x:v>
      </x:c>
      <x:c r="J40" s="37" t="str">
        <x:v>WORKING / OBSERVE / INTERACT / SOOTHE</x:v>
      </x:c>
      <x:c r="K40" s="37" t="str">
        <x:v>1024×1024 px / 每张</x:v>
      </x:c>
      <x:c r="L40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40" s="37" t="str">
        <x:v>根在双足地面中点；1024×1024装配母版(512,896)，朝右；记录头根、上下喙铰点、双鳍根、足根、围巾领口和长短垂片挂点。巡游根位移由实际路径提供，演出不得漂移或拉长身体。</x:v>
      </x:c>
      <x:c r="N40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40" s="37" t="str">
        <x:v>仅真实员工到位且工作执行时显示工作回应；失效/恢复期停止工作，不以参考动作结算产能。</x:v>
      </x:c>
      <x:c r="P40" s="37" t="str">
        <x:v>替换旧ABN_N05_02四张参考，收敛为两张功能互补姿势；完整动作由共用部件制作，回到待机无需新增PNG。</x:v>
      </x:c>
      <x:c r="Q40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40" s="37" t="str">
        <x:v>待生成／待接入</x:v>
      </x:c>
      <x:c r="S40" s="37" t="str">
        <x:v>ABN_N05_02</x:v>
      </x:c>
    </x:row>
    <x:row r="41" ht="114.75" customHeight="1">
      <x:c r="A41" s="38" t="str">
        <x:v>NMV2_EQ_W01</x:v>
      </x:c>
      <x:c r="B41" s="38" t="str">
        <x:v>P0常态</x:v>
      </x:c>
      <x:c r="C41" s="38" t="str">
        <x:v>装备</x:v>
      </x:c>
      <x:c r="D41" s="38" t="str">
        <x:v>nm_v2_weapon_nailong</x:v>
      </x:c>
      <x:c r="E41" s="38" t="str">
        <x:v>W01 复读器｜运行手持件</x:v>
      </x:c>
      <x:c r="F41" s="38" t="str">
        <x:v>现代机构专用手持器械，干净色块和少量明暗面，克制轮廓。暖黄/奶白的现代圆角手持复读器，短身、正向圆形扬声格栅、小型无字重复箭头标识、下方实握把；器身饱满轻巧，轮廓与吹风机/枪械明显区分 小尺寸先靠轮廓区分5种器械，再用对应收容物色点缀；透明镂空正常，主体不能半透明。</x:v>
      </x:c>
      <x:c r="G41" s="38" t="str">
        <x:v>现代便携音频设备、圆角实验室手持仪器和舒适实握把；暖黄/奶白的现代圆角手持复读器，短身、正向圆形扬声格栅、小型无字重复箭头标识、下方实握把；器身饱满轻巧，轮廓与吹风机/枪械明显区分 以新版员工手掌尺寸验证握持，不借用旧锈蚀、墨线排线或生物武器造型。</x:v>
      </x:c>
      <x:c r="H41" s="44" t="n">
        <x:f>COUNTIF('逐张提示词'!$B$8:$B$314,A41)</x:f>
        <x:v>1</x:v>
      </x:c>
      <x:c r="I41" s="38" t="str">
        <x:v>运行拆件</x:v>
      </x:c>
      <x:c r="J41" s="38" t="str">
        <x:v>W01 已装备 / WINDUP / HIT / RECOVERY</x:v>
      </x:c>
      <x:c r="K41" s="38" t="str">
        <x:v>1024×512 px / 每张</x:v>
      </x:c>
      <x:c r="L41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41" s="38" t="str">
        <x:v>朝右正向发声/攻击，实际握点为唯一手部挂点；母版1024×512的握点建议(352,352)，输出附握点与正向轴。近战爪同样记录掌握中心。只画器械，无手或前臂；运行显示约23—31px既有大小。</x:v>
      </x:c>
      <x:c r="N41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不画魔法光束、火焰、弹药、光环、状态图标或文字面板；不把手画进武器，不把武器图当技能功能说明。</x:v>
      </x:c>
      <x:c r="O41" s="38" t="str">
        <x:v>仅W01真实装备到员工时显示；握持角随现有攻击pose变化，攻击WHITE属性和全部数值沿用config/equipment.json。</x:v>
      </x:c>
      <x:c r="P41" s="38" t="str">
        <x:v>替换EQ_W01现有1张手持件，保持W01与来源N01不变。W00另在员工共用拆件中，不重复交付。武器没有额外被动、控制、治疗、声场或资源效果；UI图标由UI组单独负责。</x:v>
      </x:c>
      <x:c r="Q41" s="38" t="str">
        <x:v>手的握点与器械握把重合、左右镜像方向正确、攻击前摇期间不脱手；小尺寸下5武器轮廓可区分，武器不遮脸/HP条。仅替换素材与挂点，不改RED/WHITE/BLACK/PALE属性、射程、攻速、伤害、购买或持有规则。</x:v>
      </x:c>
      <x:c r="R41" s="38" t="str">
        <x:v>待生成／待接入</x:v>
      </x:c>
      <x:c r="S41" s="38" t="str">
        <x:v>EQ_W01</x:v>
      </x:c>
    </x:row>
    <x:row r="42" ht="114.75" customHeight="1">
      <x:c r="A42" s="37" t="str">
        <x:v>NMV2_EQ_A01</x:v>
      </x:c>
      <x:c r="B42" s="37" t="str">
        <x:v>P0常态</x:v>
      </x:c>
      <x:c r="C42" s="37" t="str">
        <x:v>装备</x:v>
      </x:c>
      <x:c r="D42" s="37" t="str">
        <x:v>nm_v2_armor_nailong</x:v>
      </x:c>
      <x:c r="E42" s="37" t="str">
        <x:v>A01 奶龙防护服｜运行制服套件</x:v>
      </x:c>
      <x:c r="F42" s="37" t="str">
        <x:v>现代新媒体收容机构的专业防护制服，保持共用员工2.5—3头身和轻便关节空间。蓝灰机构短制服，奶白柔软领边、暖黄圆角胸部识别块与短肩层；像舒适内容防护工作服，不是充气怪物皮 本组是3张独立部件；每张只画当前unit。防具相应躯干/肩层替代职业层，不叠两套衣服，不新增腿、发型或面部素材。</x:v>
      </x:c>
      <x:c r="G42" s="37" t="str">
        <x:v>现代研究设施的轻便工作制服、圆角织物护肩、无字身份色块；蓝灰机构短制服，奶白柔软领边、暖黄圆角胸部识别块与短肩层；像舒适内容防护工作服，不是充气怪物皮 与新版员工基型共用肩宽、领口与腰线。</x:v>
      </x:c>
      <x:c r="H42" s="43" t="n">
        <x:f>COUNTIF('逐张提示词'!$B$8:$B$314,A42)</x:f>
        <x:v>3</x:v>
      </x:c>
      <x:c r="I42" s="37" t="str">
        <x:v>运行拆件</x:v>
      </x:c>
      <x:c r="J42" s="37" t="str">
        <x:v>A01 已装备 / 全员工姿态</x:v>
      </x:c>
      <x:c r="K42" s="37" t="str">
        <x:v>1024×1024 px / 每张</x:v>
      </x:c>
      <x:c r="L42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42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42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O42" s="37" t="str">
        <x:v>只有A01被实际装备的员工显示本组；未装备仍用基础/职业外观。装备只沿用原RED/WHITE/BLACK/PALE抗性，视觉皮肤不赋予职业或额外技能。</x:v>
      </x:c>
      <x:c r="P42" s="37" t="str">
        <x:v>保持A01、来源N01、现有3个外观部件数量与衣服挂点；重新绘制干净现代制服。覆盖对应职业衣服层以避免穿模，现有发型、手脚和动作共用；不修改装备数值、唯一持有人、购买条件或存档。</x:v>
      </x:c>
      <x:c r="Q42" s="37" t="str">
        <x:v>六发型与四职业基型都可穿；在走路、楼梯、工作、攻击、恐慌和倒地姿态中肩层不漏大洞、领口不遮脸、垂片不穿手；同一防具可在不同员工间真实换装，外观跟随实际持有人。无额外属性/被动/治疗表现。</x:v>
      </x:c>
      <x:c r="R42" s="37" t="str">
        <x:v>待生成／待接入</x:v>
      </x:c>
      <x:c r="S42" s="37" t="str">
        <x:v>EQ_A01</x:v>
      </x:c>
    </x:row>
    <x:row r="43" ht="114.75" customHeight="1">
      <x:c r="A43" s="38" t="str">
        <x:v>NMV2_EQ_W02</x:v>
      </x:c>
      <x:c r="B43" s="38" t="str">
        <x:v>P0常态</x:v>
      </x:c>
      <x:c r="C43" s="38" t="str">
        <x:v>装备</x:v>
      </x:c>
      <x:c r="D43" s="38" t="str">
        <x:v>nm_v2_weapon_maodie</x:v>
      </x:c>
      <x:c r="E43" s="38" t="str">
        <x:v>W02 哈气爪｜运行手持件</x:v>
      </x:c>
      <x:c r="F43" s="38" t="str">
        <x:v>现代机构专用手持器械，干净色块和少量明暗面，克制轮廓。暖灰机身与脏粉衬垫的现代三指爪形手持防护器，三枚短而圆钝的工具爪指向右，掌背壳与手握区域明确；是机构器械，不是生物断爪或巨大尖刀 小尺寸先靠轮廓区分5种器械，再用对应收容物色点缀；透明镂空正常，主体不能半透明。</x:v>
      </x:c>
      <x:c r="G43" s="38" t="str">
        <x:v>现代便携音频设备、圆角实验室手持仪器和舒适实握把；暖灰机身与脏粉衬垫的现代三指爪形手持防护器，三枚短而圆钝的工具爪指向右，掌背壳与手握区域明确；是机构器械，不是生物断爪或巨大尖刀 以新版员工手掌尺寸验证握持，不借用旧锈蚀、墨线排线或生物武器造型。</x:v>
      </x:c>
      <x:c r="H43" s="44" t="n">
        <x:f>COUNTIF('逐张提示词'!$B$8:$B$314,A43)</x:f>
        <x:v>1</x:v>
      </x:c>
      <x:c r="I43" s="38" t="str">
        <x:v>运行拆件</x:v>
      </x:c>
      <x:c r="J43" s="38" t="str">
        <x:v>W02 已装备 / WINDUP / HIT / RECOVERY</x:v>
      </x:c>
      <x:c r="K43" s="38" t="str">
        <x:v>1024×512 px / 每张</x:v>
      </x:c>
      <x:c r="L43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43" s="38" t="str">
        <x:v>朝右正向发声/攻击，实际握点为唯一手部挂点；母版1024×512的握点建议(352,352)，输出附握点与正向轴。近战爪同样记录掌握中心。只画器械，无手或前臂；运行显示约23—31px既有大小。</x:v>
      </x:c>
      <x:c r="N43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不画魔法光束、火焰、弹药、光环、状态图标或文字面板；不把手画进武器，不把武器图当技能功能说明。</x:v>
      </x:c>
      <x:c r="O43" s="38" t="str">
        <x:v>仅W02真实装备到员工时显示；握持角随现有攻击pose变化，攻击RED属性和全部数值沿用config/equipment.json。</x:v>
      </x:c>
      <x:c r="P43" s="38" t="str">
        <x:v>替换EQ_W02现有1张手持件，保持W02与来源N02不变。W00另在员工共用拆件中，不重复交付。武器没有额外被动、控制、治疗、声场或资源效果；UI图标由UI组单独负责。</x:v>
      </x:c>
      <x:c r="Q43" s="38" t="str">
        <x:v>手的握点与器械握把重合、左右镜像方向正确、攻击前摇期间不脱手；小尺寸下5武器轮廓可区分，武器不遮脸/HP条。仅替换素材与挂点，不改RED/WHITE/BLACK/PALE属性、射程、攻速、伤害、购买或持有规则。</x:v>
      </x:c>
      <x:c r="R43" s="38" t="str">
        <x:v>待生成／待接入</x:v>
      </x:c>
      <x:c r="S43" s="38" t="str">
        <x:v>EQ_W02</x:v>
      </x:c>
    </x:row>
    <x:row r="44" ht="114.75" customHeight="1">
      <x:c r="A44" s="37" t="str">
        <x:v>NMV2_EQ_A02</x:v>
      </x:c>
      <x:c r="B44" s="37" t="str">
        <x:v>P0常态</x:v>
      </x:c>
      <x:c r="C44" s="37" t="str">
        <x:v>装备</x:v>
      </x:c>
      <x:c r="D44" s="37" t="str">
        <x:v>nm_v2_armor_maodie</x:v>
      </x:c>
      <x:c r="E44" s="37" t="str">
        <x:v>A02 耄耋防护服｜运行制服套件</x:v>
      </x:c>
      <x:c r="F44" s="37" t="str">
        <x:v>现代新媒体收容机构的专业防护制服，保持共用员工2.5—3头身和轻便关节空间。蓝灰短制服，暖灰短立领、脏粉小肩片和两片很短的柔软围领垂带；不遮脸、不盖手，表现情绪观测套装的辨识色而非攻击强化 本组是5张独立部件；每张只画当前unit。防具相应躯干/肩层替代职业层，不叠两套衣服，不新增腿、发型或面部素材。</x:v>
      </x:c>
      <x:c r="G44" s="37" t="str">
        <x:v>现代研究设施的轻便工作制服、圆角织物护肩、无字身份色块；蓝灰短制服，暖灰短立领、脏粉小肩片和两片很短的柔软围领垂带；不遮脸、不盖手，表现情绪观测套装的辨识色而非攻击强化 与新版员工基型共用肩宽、领口与腰线。</x:v>
      </x:c>
      <x:c r="H44" s="43" t="n">
        <x:f>COUNTIF('逐张提示词'!$B$8:$B$314,A44)</x:f>
        <x:v>5</x:v>
      </x:c>
      <x:c r="I44" s="37" t="str">
        <x:v>运行拆件</x:v>
      </x:c>
      <x:c r="J44" s="37" t="str">
        <x:v>A02 已装备 / 全员工姿态</x:v>
      </x:c>
      <x:c r="K44" s="37" t="str">
        <x:v>1024×1024 px / 每张</x:v>
      </x:c>
      <x:c r="L44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44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44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O44" s="37" t="str">
        <x:v>只有A02被实际装备的员工显示本组；未装备仍用基础/职业外观。装备只沿用原RED/WHITE/BLACK/PALE抗性，视觉皮肤不赋予职业或额外技能。</x:v>
      </x:c>
      <x:c r="P44" s="37" t="str">
        <x:v>保持A02、来源N02、现有5个外观部件数量与衣服挂点；重新绘制干净现代制服。覆盖对应职业衣服层以避免穿模，现有发型、手脚和动作共用；不修改装备数值、唯一持有人、购买条件或存档。</x:v>
      </x:c>
      <x:c r="Q44" s="37" t="str">
        <x:v>六发型与四职业基型都可穿；在走路、楼梯、工作、攻击、恐慌和倒地姿态中肩层不漏大洞、领口不遮脸、垂片不穿手；同一防具可在不同员工间真实换装，外观跟随实际持有人。无额外属性/被动/治疗表现。</x:v>
      </x:c>
      <x:c r="R44" s="37" t="str">
        <x:v>待生成／待接入</x:v>
      </x:c>
      <x:c r="S44" s="37" t="str">
        <x:v>EQ_A02</x:v>
      </x:c>
    </x:row>
    <x:row r="45" ht="114.75" customHeight="1">
      <x:c r="A45" s="38" t="str">
        <x:v>NMV2_EQ_W03</x:v>
      </x:c>
      <x:c r="B45" s="38" t="str">
        <x:v>P0常态</x:v>
      </x:c>
      <x:c r="C45" s="38" t="str">
        <x:v>装备</x:v>
      </x:c>
      <x:c r="D45" s="38" t="str">
        <x:v>nm_v2_weapon_big_dog</x:v>
      </x:c>
      <x:c r="E45" s="38" t="str">
        <x:v>W03 吠声器｜运行手持件</x:v>
      </x:c>
      <x:c r="F45" s="38" t="str">
        <x:v>现代机构专用手持器械，干净色块和少量明暗面，克制轮廓。红橙机壳与粉白扬声口的便携音频吠声器，宽圆前口、紧凑后部、下方握把；像现代直播扩音器，前端朝右，没有狗牙嘴或攻击弹药造型 小尺寸先靠轮廓区分5种器械，再用对应收容物色点缀；透明镂空正常，主体不能半透明。</x:v>
      </x:c>
      <x:c r="G45" s="38" t="str">
        <x:v>现代便携音频设备、圆角实验室手持仪器和舒适实握把；红橙机壳与粉白扬声口的便携音频吠声器，宽圆前口、紧凑后部、下方握把；像现代直播扩音器，前端朝右，没有狗牙嘴或攻击弹药造型 以新版员工手掌尺寸验证握持，不借用旧锈蚀、墨线排线或生物武器造型。</x:v>
      </x:c>
      <x:c r="H45" s="44" t="n">
        <x:f>COUNTIF('逐张提示词'!$B$8:$B$314,A45)</x:f>
        <x:v>1</x:v>
      </x:c>
      <x:c r="I45" s="38" t="str">
        <x:v>运行拆件</x:v>
      </x:c>
      <x:c r="J45" s="38" t="str">
        <x:v>W03 已装备 / WINDUP / HIT / RECOVERY</x:v>
      </x:c>
      <x:c r="K45" s="38" t="str">
        <x:v>1024×512 px / 每张</x:v>
      </x:c>
      <x:c r="L45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45" s="38" t="str">
        <x:v>朝右正向发声/攻击，实际握点为唯一手部挂点；母版1024×512的握点建议(352,352)，输出附握点与正向轴。近战爪同样记录掌握中心。只画器械，无手或前臂；运行显示约23—31px既有大小。</x:v>
      </x:c>
      <x:c r="N45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不画魔法光束、火焰、弹药、光环、状态图标或文字面板；不把手画进武器，不把武器图当技能功能说明。</x:v>
      </x:c>
      <x:c r="O45" s="38" t="str">
        <x:v>仅W03真实装备到员工时显示；握持角随现有攻击pose变化，攻击RED属性和全部数值沿用config/equipment.json。</x:v>
      </x:c>
      <x:c r="P45" s="38" t="str">
        <x:v>替换EQ_W03现有1张手持件，保持W03与来源N03不变。W00另在员工共用拆件中，不重复交付。武器没有额外被动、控制、治疗、声场或资源效果；UI图标由UI组单独负责。</x:v>
      </x:c>
      <x:c r="Q45" s="38" t="str">
        <x:v>手的握点与器械握把重合、左右镜像方向正确、攻击前摇期间不脱手；小尺寸下5武器轮廓可区分，武器不遮脸/HP条。仅替换素材与挂点，不改RED/WHITE/BLACK/PALE属性、射程、攻速、伤害、购买或持有规则。</x:v>
      </x:c>
      <x:c r="R45" s="38" t="str">
        <x:v>待生成／待接入</x:v>
      </x:c>
      <x:c r="S45" s="38" t="str">
        <x:v>EQ_W03</x:v>
      </x:c>
    </x:row>
    <x:row r="46" ht="114.75" customHeight="1">
      <x:c r="A46" s="37" t="str">
        <x:v>NMV2_EQ_A03</x:v>
      </x:c>
      <x:c r="B46" s="37" t="str">
        <x:v>P0常态</x:v>
      </x:c>
      <x:c r="C46" s="37" t="str">
        <x:v>装备</x:v>
      </x:c>
      <x:c r="D46" s="37" t="str">
        <x:v>nm_v2_armor_big_dog</x:v>
      </x:c>
      <x:c r="E46" s="37" t="str">
        <x:v>A03 大狗防护服｜运行制服套件</x:v>
      </x:c>
      <x:c r="F46" s="37" t="str">
        <x:v>现代新媒体收容机构的专业防护制服，保持共用员工2.5—3头身和轻便关节空间。蓝灰短制服、红橙边线、粉白独立短领和简洁肩层；带音频工作人员的舒适防护感，无主播文字、数值显示或重型装甲 本组是4张独立部件；每张只画当前unit。防具相应躯干/肩层替代职业层，不叠两套衣服，不新增腿、发型或面部素材。</x:v>
      </x:c>
      <x:c r="G46" s="37" t="str">
        <x:v>现代研究设施的轻便工作制服、圆角织物护肩、无字身份色块；蓝灰短制服、红橙边线、粉白独立短领和简洁肩层；带音频工作人员的舒适防护感，无主播文字、数值显示或重型装甲 与新版员工基型共用肩宽、领口与腰线。</x:v>
      </x:c>
      <x:c r="H46" s="43" t="n">
        <x:f>COUNTIF('逐张提示词'!$B$8:$B$314,A46)</x:f>
        <x:v>4</x:v>
      </x:c>
      <x:c r="I46" s="37" t="str">
        <x:v>运行拆件</x:v>
      </x:c>
      <x:c r="J46" s="37" t="str">
        <x:v>A03 已装备 / 全员工姿态</x:v>
      </x:c>
      <x:c r="K46" s="37" t="str">
        <x:v>1024×1024 px / 每张</x:v>
      </x:c>
      <x:c r="L46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46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46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O46" s="37" t="str">
        <x:v>只有A03被实际装备的员工显示本组；未装备仍用基础/职业外观。装备只沿用原RED/WHITE/BLACK/PALE抗性，视觉皮肤不赋予职业或额外技能。</x:v>
      </x:c>
      <x:c r="P46" s="37" t="str">
        <x:v>保持A03、来源N03、现有4个外观部件数量与衣服挂点；重新绘制干净现代制服。覆盖对应职业衣服层以避免穿模，现有发型、手脚和动作共用；不修改装备数值、唯一持有人、购买条件或存档。</x:v>
      </x:c>
      <x:c r="Q46" s="37" t="str">
        <x:v>六发型与四职业基型都可穿；在走路、楼梯、工作、攻击、恐慌和倒地姿态中肩层不漏大洞、领口不遮脸、垂片不穿手；同一防具可在不同员工间真实换装，外观跟随实际持有人。无额外属性/被动/治疗表现。</x:v>
      </x:c>
      <x:c r="R46" s="37" t="str">
        <x:v>待生成／待接入</x:v>
      </x:c>
      <x:c r="S46" s="37" t="str">
        <x:v>EQ_A03</x:v>
      </x:c>
    </x:row>
    <x:row r="47" ht="114.75" customHeight="1">
      <x:c r="A47" s="38" t="str">
        <x:v>NMV2_EQ_W04</x:v>
      </x:c>
      <x:c r="B47" s="38" t="str">
        <x:v>P0常态</x:v>
      </x:c>
      <x:c r="C47" s="38" t="str">
        <x:v>装备</x:v>
      </x:c>
      <x:c r="D47" s="38" t="str">
        <x:v>nm_v2_weapon_dingdong</x:v>
      </x:c>
      <x:c r="E47" s="38" t="str">
        <x:v>W04 通知喇叭｜运行手持件</x:v>
      </x:c>
      <x:c r="F47" s="38" t="str">
        <x:v>现代机构专用手持器械，干净色块和少量明暗面，克制轮廓。明黄/橙黄机壳的现代通知喇叭，短喇叭口朝右，小块提示红按钮和清楚握把，轮廓比吠声器更窄且有一块小型圆角通知面；无铜管乐器纹饰或机械钟 小尺寸先靠轮廓区分5种器械，再用对应收容物色点缀；透明镂空正常，主体不能半透明。</x:v>
      </x:c>
      <x:c r="G47" s="38" t="str">
        <x:v>现代便携音频设备、圆角实验室手持仪器和舒适实握把；明黄/橙黄机壳的现代通知喇叭，短喇叭口朝右，小块提示红按钮和清楚握把，轮廓比吠声器更窄且有一块小型圆角通知面；无铜管乐器纹饰或机械钟 以新版员工手掌尺寸验证握持，不借用旧锈蚀、墨线排线或生物武器造型。</x:v>
      </x:c>
      <x:c r="H47" s="44" t="n">
        <x:f>COUNTIF('逐张提示词'!$B$8:$B$314,A47)</x:f>
        <x:v>1</x:v>
      </x:c>
      <x:c r="I47" s="38" t="str">
        <x:v>运行拆件</x:v>
      </x:c>
      <x:c r="J47" s="38" t="str">
        <x:v>W04 已装备 / WINDUP / HIT / RECOVERY</x:v>
      </x:c>
      <x:c r="K47" s="38" t="str">
        <x:v>1024×512 px / 每张</x:v>
      </x:c>
      <x:c r="L47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47" s="38" t="str">
        <x:v>朝右正向发声/攻击，实际握点为唯一手部挂点；母版1024×512的握点建议(352,352)，输出附握点与正向轴。近战爪同样记录掌握中心。只画器械，无手或前臂；运行显示约23—31px既有大小。</x:v>
      </x:c>
      <x:c r="N47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不画魔法光束、火焰、弹药、光环、状态图标或文字面板；不把手画进武器，不把武器图当技能功能说明。</x:v>
      </x:c>
      <x:c r="O47" s="38" t="str">
        <x:v>仅W04真实装备到员工时显示；握持角随现有攻击pose变化，攻击BLACK属性和全部数值沿用config/equipment.json。</x:v>
      </x:c>
      <x:c r="P47" s="38" t="str">
        <x:v>替换EQ_W04现有1张手持件，保持W04与来源N04不变。W00另在员工共用拆件中，不重复交付。武器没有额外被动、控制、治疗、声场或资源效果；UI图标由UI组单独负责。</x:v>
      </x:c>
      <x:c r="Q47" s="38" t="str">
        <x:v>手的握点与器械握把重合、左右镜像方向正确、攻击前摇期间不脱手；小尺寸下5武器轮廓可区分，武器不遮脸/HP条。仅替换素材与挂点，不改RED/WHITE/BLACK/PALE属性、射程、攻速、伤害、购买或持有规则。</x:v>
      </x:c>
      <x:c r="R47" s="38" t="str">
        <x:v>待生成／待接入</x:v>
      </x:c>
      <x:c r="S47" s="38" t="str">
        <x:v>EQ_W04</x:v>
      </x:c>
    </x:row>
    <x:row r="48" ht="114.75" customHeight="1">
      <x:c r="A48" s="37" t="str">
        <x:v>NMV2_EQ_A04</x:v>
      </x:c>
      <x:c r="B48" s="37" t="str">
        <x:v>P0常态</x:v>
      </x:c>
      <x:c r="C48" s="37" t="str">
        <x:v>装备</x:v>
      </x:c>
      <x:c r="D48" s="37" t="str">
        <x:v>nm_v2_armor_dingdong</x:v>
      </x:c>
      <x:c r="E48" s="37" t="str">
        <x:v>A04 叮咚鸡防护服｜运行制服套件</x:v>
      </x:c>
      <x:c r="F48" s="37" t="str">
        <x:v>现代新媒体收容机构的专业防护制服，保持共用员工2.5—3头身和轻便关节空间。蓝灰短制服、明黄/橙黄窄识别带、少量提示红圆角胸标与两块短肩层；类似现代播报系统值班服，不做黄铜警报装甲 本组是3张独立部件；每张只画当前unit。防具相应躯干/肩层替代职业层，不叠两套衣服，不新增腿、发型或面部素材。</x:v>
      </x:c>
      <x:c r="G48" s="37" t="str">
        <x:v>现代研究设施的轻便工作制服、圆角织物护肩、无字身份色块；蓝灰短制服、明黄/橙黄窄识别带、少量提示红圆角胸标与两块短肩层；类似现代播报系统值班服，不做黄铜警报装甲 与新版员工基型共用肩宽、领口与腰线。</x:v>
      </x:c>
      <x:c r="H48" s="43" t="n">
        <x:f>COUNTIF('逐张提示词'!$B$8:$B$314,A48)</x:f>
        <x:v>3</x:v>
      </x:c>
      <x:c r="I48" s="37" t="str">
        <x:v>运行拆件</x:v>
      </x:c>
      <x:c r="J48" s="37" t="str">
        <x:v>A04 已装备 / 全员工姿态</x:v>
      </x:c>
      <x:c r="K48" s="37" t="str">
        <x:v>1024×1024 px / 每张</x:v>
      </x:c>
      <x:c r="L48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48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48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O48" s="37" t="str">
        <x:v>只有A04被实际装备的员工显示本组；未装备仍用基础/职业外观。装备只沿用原RED/WHITE/BLACK/PALE抗性，视觉皮肤不赋予职业或额外技能。</x:v>
      </x:c>
      <x:c r="P48" s="37" t="str">
        <x:v>保持A04、来源N04、现有3个外观部件数量与衣服挂点；重新绘制干净现代制服。覆盖对应职业衣服层以避免穿模，现有发型、手脚和动作共用；不修改装备数值、唯一持有人、购买条件或存档。</x:v>
      </x:c>
      <x:c r="Q48" s="37" t="str">
        <x:v>六发型与四职业基型都可穿；在走路、楼梯、工作、攻击、恐慌和倒地姿态中肩层不漏大洞、领口不遮脸、垂片不穿手；同一防具可在不同员工间真实换装，外观跟随实际持有人。无额外属性/被动/治疗表现。</x:v>
      </x:c>
      <x:c r="R48" s="37" t="str">
        <x:v>待生成／待接入</x:v>
      </x:c>
      <x:c r="S48" s="37" t="str">
        <x:v>EQ_A04</x:v>
      </x:c>
    </x:row>
    <x:row r="49" ht="114.75" customHeight="1">
      <x:c r="A49" s="38" t="str">
        <x:v>NMV2_EQ_W05</x:v>
      </x:c>
      <x:c r="B49" s="38" t="str">
        <x:v>P0常态</x:v>
      </x:c>
      <x:c r="C49" s="38" t="str">
        <x:v>装备</x:v>
      </x:c>
      <x:c r="D49" s="38" t="str">
        <x:v>nm_v2_weapon_gugu</x:v>
      </x:c>
      <x:c r="E49" s="38" t="str">
        <x:v>W05 嘎嘎共振器｜运行手持件</x:v>
      </x:c>
      <x:c r="F49" s="38" t="str">
        <x:v>现代机构专用手持器械，干净色块和少量明暗面，克制轮廓。浅蓝/粉白的短身圆角共振器，双层圆环或软边栅格构成正向发声面，下方握把清晰，像机构专用便携声音仪器；不画奶瓶、婴儿、治疗喷头或魔法法杖 小尺寸先靠轮廓区分5种器械，再用对应收容物色点缀；透明镂空正常，主体不能半透明。</x:v>
      </x:c>
      <x:c r="G49" s="38" t="str">
        <x:v>现代便携音频设备、圆角实验室手持仪器和舒适实握把；浅蓝/粉白的短身圆角共振器，双层圆环或软边栅格构成正向发声面，下方握把清晰，像机构专用便携声音仪器；不画奶瓶、婴儿、治疗喷头或魔法法杖 以新版员工手掌尺寸验证握持，不借用旧锈蚀、墨线排线或生物武器造型。</x:v>
      </x:c>
      <x:c r="H49" s="44" t="n">
        <x:f>COUNTIF('逐张提示词'!$B$8:$B$314,A49)</x:f>
        <x:v>1</x:v>
      </x:c>
      <x:c r="I49" s="38" t="str">
        <x:v>运行拆件</x:v>
      </x:c>
      <x:c r="J49" s="38" t="str">
        <x:v>W05 已装备 / WINDUP / HIT / RECOVERY</x:v>
      </x:c>
      <x:c r="K49" s="38" t="str">
        <x:v>1024×512 px / 每张</x:v>
      </x:c>
      <x:c r="L49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49" s="38" t="str">
        <x:v>朝右正向发声/攻击，实际握点为唯一手部挂点；母版1024×512的握点建议(352,352)，输出附握点与正向轴。近战爪同样记录掌握中心。只画器械，无手或前臂；运行显示约23—31px既有大小。</x:v>
      </x:c>
      <x:c r="N49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不画魔法光束、火焰、弹药、光环、状态图标或文字面板；不把手画进武器，不把武器图当技能功能说明。</x:v>
      </x:c>
      <x:c r="O49" s="38" t="str">
        <x:v>仅W05真实装备到员工时显示；握持角随现有攻击pose变化，攻击PALE属性和全部数值沿用config/equipment.json。</x:v>
      </x:c>
      <x:c r="P49" s="38" t="str">
        <x:v>替换EQ_W05现有1张手持件，保持W05与来源N05不变。W00另在员工共用拆件中，不重复交付。武器没有额外被动、控制、治疗、声场或资源效果；UI图标由UI组单独负责。</x:v>
      </x:c>
      <x:c r="Q49" s="38" t="str">
        <x:v>手的握点与器械握把重合、左右镜像方向正确、攻击前摇期间不脱手；小尺寸下5武器轮廓可区分，武器不遮脸/HP条。仅替换素材与挂点，不改RED/WHITE/BLACK/PALE属性、射程、攻速、伤害、购买或持有规则。</x:v>
      </x:c>
      <x:c r="R49" s="38" t="str">
        <x:v>待生成／待接入</x:v>
      </x:c>
      <x:c r="S49" s="38" t="str">
        <x:v>EQ_W05</x:v>
      </x:c>
    </x:row>
    <x:row r="50" ht="114.75" customHeight="1">
      <x:c r="A50" s="37" t="str">
        <x:v>NMV2_EQ_A05</x:v>
      </x:c>
      <x:c r="B50" s="37" t="str">
        <x:v>P0常态</x:v>
      </x:c>
      <x:c r="C50" s="37" t="str">
        <x:v>装备</x:v>
      </x:c>
      <x:c r="D50" s="37" t="str">
        <x:v>nm_v2_armor_gugu</x:v>
      </x:c>
      <x:c r="E50" s="37" t="str">
        <x:v>A05 咕咕嘎嘎防护服｜运行制服套件</x:v>
      </x:c>
      <x:c r="F50" s="37" t="str">
        <x:v>现代新媒体收容机构的专业防护制服，保持共用员工2.5—3头身和轻便关节空间。蓝灰结构的浅蓝/粉白短制服，舒适短领、轻肩层和两条短软织带；只用少量幼态配色强调，仍是成年人专业制服，不是护士治疗装或企鹅布偶套装 本组是5张独立部件；每张只画当前unit。防具相应躯干/肩层替代职业层，不叠两套衣服，不新增腿、发型或面部素材。</x:v>
      </x:c>
      <x:c r="G50" s="37" t="str">
        <x:v>现代研究设施的轻便工作制服、圆角织物护肩、无字身份色块；蓝灰结构的浅蓝/粉白短制服，舒适短领、轻肩层和两条短软织带；只用少量幼态配色强调，仍是成年人专业制服，不是护士治疗装或企鹅布偶套装 与新版员工基型共用肩宽、领口与腰线。</x:v>
      </x:c>
      <x:c r="H50" s="43" t="n">
        <x:f>COUNTIF('逐张提示词'!$B$8:$B$314,A50)</x:f>
        <x:v>5</x:v>
      </x:c>
      <x:c r="I50" s="37" t="str">
        <x:v>运行拆件</x:v>
      </x:c>
      <x:c r="J50" s="37" t="str">
        <x:v>A05 已装备 / 全员工姿态</x:v>
      </x:c>
      <x:c r="K50" s="37" t="str">
        <x:v>1024×1024 px / 每张</x:v>
      </x:c>
      <x:c r="L50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50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50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O50" s="37" t="str">
        <x:v>只有A05被实际装备的员工显示本组；未装备仍用基础/职业外观。装备只沿用原RED/WHITE/BLACK/PALE抗性，视觉皮肤不赋予职业或额外技能。</x:v>
      </x:c>
      <x:c r="P50" s="37" t="str">
        <x:v>保持A05、来源N05、现有5个外观部件数量与衣服挂点；重新绘制干净现代制服。覆盖对应职业衣服层以避免穿模，现有发型、手脚和动作共用；不修改装备数值、唯一持有人、购买条件或存档。</x:v>
      </x:c>
      <x:c r="Q50" s="37" t="str">
        <x:v>六发型与四职业基型都可穿；在走路、楼梯、工作、攻击、恐慌和倒地姿态中肩层不漏大洞、领口不遮脸、垂片不穿手；同一防具可在不同员工间真实换装，外观跟随实际持有人。无额外属性/被动/治疗表现。</x:v>
      </x:c>
      <x:c r="R50" s="37" t="str">
        <x:v>待生成／待接入</x:v>
      </x:c>
      <x:c r="S50" s="37" t="str">
        <x:v>EQ_A05</x:v>
      </x:c>
    </x:row>
    <x:row r="51" ht="100.5" customHeight="1">
      <x:c r="A51" s="38" t="str">
        <x:v>ENV_V2_001</x:v>
      </x:c>
      <x:c r="B51" s="38" t="str">
        <x:v>P0常态</x:v>
      </x:c>
      <x:c r="C51" s="38" t="str">
        <x:v>公共结构</x:v>
      </x:c>
      <x:c r="D51" s="38" t="str">
        <x:v>nm_v2_env_room_shell</x:v>
      </x:c>
      <x:c r="E51" s="38" t="str">
        <x:v>现代收容室与大厅模块框</x:v>
      </x:c>
      <x:c r="F51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金属蓝灰厚框配冷白窄内沿；上角小切角、下角方正，接口严格平直。框内完全留空；梁可横向重复，壁可竖向重复；不能靠横向拉伸角件凑宽度。</x:v>
      </x:c>
      <x:c r="G51" s="38" t="str">
        <x:v>现代科研楼模块化金属门厅框、洁净室铝合金围护框与细窄冷白内衬，参考平直拼接端和切角连接结构。只参考结构，按本版色板绘制为二维正交侧视素材，不照搬对象的原配色、品牌或文字。</x:v>
      </x:c>
      <x:c r="H51" s="44" t="n">
        <x:f>COUNTIF('逐张提示词'!$B$8:$B$314,A51)</x:f>
        <x:v>8</x:v>
      </x:c>
      <x:c r="I51" s="38" t="str">
        <x:v>模块</x:v>
      </x:c>
      <x:c r="J51" s="38" t="str">
        <x:v>常态静态素材</x:v>
      </x:c>
      <x:c r="K51" s="38" t="str">
        <x:v>corner_*各512×512 px；beam_*各1024×256 px；wall_*各256×1024 px。</x:v>
      </x:c>
      <x:c r="L51" s="38" t="str">
        <x:v>RGBA透明PNG，sRGB，8bit；一unit一文件；文件名=name+'_'+suffix+'.png'。</x:v>
      </x:c>
      <x:c r="M51" s="38" t="str">
        <x:v>角件连接内角；梁/壁沿拼接直边起点。</x:v>
      </x:c>
      <x:c r="N51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51" s="38" t="str">
        <x:v>常态装配显示；本轮仅需求文档，尚未生成或接入。不得自行新增交互、产能、伤害、通行或研究规则。</x:v>
      </x:c>
      <x:c r="P51" s="38" t="str">
        <x:v>替换ENV_001/room_shell_edges_a的8件同名suffix。原N01~N05外框分别550×260、540×300、720×300、600×350、640×300；保留全部5大厅及医疗安全区。原门侧缺口继续由装配保留，框不替代地板。</x:v>
      </x:c>
      <x:c r="Q51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51" s="38" t="str">
        <x:v>待生成／待接入</x:v>
      </x:c>
      <x:c r="S51" s="38" t="str">
        <x:v>ENV_001</x:v>
      </x:c>
    </x:row>
    <x:row r="52" ht="100.5" customHeight="1">
      <x:c r="A52" s="37" t="str">
        <x:v>ENV_V2_002</x:v>
      </x:c>
      <x:c r="B52" s="37" t="str">
        <x:v>P0常态</x:v>
      </x:c>
      <x:c r="C52" s="37" t="str">
        <x:v>公共结构</x:v>
      </x:c>
      <x:c r="D52" s="37" t="str">
        <x:v>nm_v2_env_wall_cladding</x:v>
      </x:c>
      <x:c r="E52" s="37" t="str">
        <x:v>清洁机构墙面与护墙板</x:v>
      </x:c>
      <x:c r="F52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四套配色统一板缝尺度：neutral冷白/金属灰、clinical白蓝、slate蓝灰、soft灰白微暖。上墙中部留净空，护墙板较暗；不得把五异常的高饱和主色铺满整墙。</x:v>
      </x:c>
      <x:c r="G52" s="37" t="str">
        <x:v>现代医院与数字研究机构的洁净墙板、浅蓝护墙板及金属踢脚护板，参考统一板缝、分区层次和干净留白。只参考结构，按本版色板绘制为二维正交侧视素材，不照搬对象的原配色、品牌或文字。</x:v>
      </x:c>
      <x:c r="H52" s="43" t="n">
        <x:f>COUNTIF('逐张提示词'!$B$8:$B$314,A52)</x:f>
        <x:v>8</x:v>
      </x:c>
      <x:c r="I52" s="37" t="str">
        <x:v>背景</x:v>
      </x:c>
      <x:c r="J52" s="37" t="str">
        <x:v>常态静态素材</x:v>
      </x:c>
      <x:c r="K52" s="37" t="str">
        <x:v>upper_*各1024×1024 px；lower_*各1024×256 px。</x:v>
      </x:c>
      <x:c r="L52" s="37" t="str">
        <x:v>PNG平铺背景，sRGB，8bit；上墙四边无缝、护墙板左右无缝；一unit一文件。</x:v>
      </x:c>
      <x:c r="M52" s="37" t="str">
        <x:v>左上(0,0)；上下墙交界由装配对齐。</x:v>
      </x:c>
      <x:c r="N52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52" s="37" t="str">
        <x:v>常态装配显示；本轮仅需求文档，尚未生成或接入。不得自行新增交互、产能、伤害、通行或研究规则。</x:v>
      </x:c>
      <x:c r="P52" s="37" t="str">
        <x:v>ENV_002旧taupe→neutral、moss→clinical、slate→slate、mauve→soft，上/下墙一一对应；显示层更新配色引用而非只给旧纹理染色。部门点缀与五异常专属设备另装。</x:v>
      </x:c>
      <x:c r="Q52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同色连续铺三块无亮缝或高频重复斑点；不压过约66逻辑像素员工轮廓。</x:v>
      </x:c>
      <x:c r="R52" s="37" t="str">
        <x:v>待生成／待接入</x:v>
      </x:c>
      <x:c r="S52" s="37" t="str">
        <x:v>ENV_002</x:v>
      </x:c>
    </x:row>
    <x:row r="53" ht="100.5" customHeight="1">
      <x:c r="A53" s="38" t="str">
        <x:v>ENV_V2_003</x:v>
      </x:c>
      <x:c r="B53" s="38" t="str">
        <x:v>P0常态</x:v>
      </x:c>
      <x:c r="C53" s="38" t="str">
        <x:v>公共结构</x:v>
      </x:c>
      <x:c r="D53" s="38" t="str">
        <x:v>nm_v2_env_floor_segment</x:v>
      </x:c>
      <x:c r="E53" s="38" t="str">
        <x:v>连续行走地板与端头</x:v>
      </x:c>
      <x:c r="F53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金属灰平直踏面、深蓝灰承重下沿和稀疏防滑缝；实体脚底基准最清楚。中段水平可平铺，端头同截面；不把下沿画成另一条可走路面。</x:v>
      </x:c>
      <x:c r="G53" s="38" t="str">
        <x:v>科研楼连廊的防滑金属地板、平直承重踏面与收边端头，参考脚底支撑线和清楚的板厚。只参考结构，按本版色板绘制为二维正交侧视素材，不照搬对象的原配色、品牌或文字。</x:v>
      </x:c>
      <x:c r="H53" s="44" t="n">
        <x:f>COUNTIF('逐张提示词'!$B$8:$B$314,A53)</x:f>
        <x:v>3</x:v>
      </x:c>
      <x:c r="I53" s="38" t="str">
        <x:v>模块</x:v>
      </x:c>
      <x:c r="J53" s="38" t="str">
        <x:v>常态静态素材</x:v>
      </x:c>
      <x:c r="K53" s="38" t="str">
        <x:v>middle=1024×256 px；cap_left/cap_right各256×256 px。</x:v>
      </x:c>
      <x:c r="L53" s="38" t="str">
        <x:v>RGBA透明PNG，sRGB，8bit；一unit一文件；文件名=name+'_'+suffix+'.png'。</x:v>
      </x:c>
      <x:c r="M53" s="38" t="str">
        <x:v>上表面承重线左端；交付标注该线的源图Y。</x:v>
      </x:c>
      <x:c r="N53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53" s="38" t="str">
        <x:v>常态装配显示；本轮仅需求文档，尚未生成或接入。不得自行新增交互、产能、伤害、通行或研究规则。</x:v>
      </x:c>
      <x:c r="P53" s="38" t="str">
        <x:v>ENV_003三件原位替换。保持floorImage中地板在逻辑y处的脚底关系，不更改节点或楼层高度；禁止在相邻层画桥捷径。</x:v>
      </x:c>
      <x:c r="Q53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53" s="38" t="str">
        <x:v>待生成／待接入</x:v>
      </x:c>
      <x:c r="S53" s="38" t="str">
        <x:v>ENV_003</x:v>
      </x:c>
    </x:row>
    <x:row r="54" ht="100.5" customHeight="1">
      <x:c r="A54" s="37" t="str">
        <x:v>ENV_V2_004</x:v>
      </x:c>
      <x:c r="B54" s="37" t="str">
        <x:v>P0常态</x:v>
      </x:c>
      <x:c r="C54" s="37" t="str">
        <x:v>公共结构</x:v>
      </x:c>
      <x:c r="D54" s="37" t="str">
        <x:v>nm_v2_env_corridor_cladding</x:v>
      </x:c>
      <x:c r="E54" s="37" t="str">
        <x:v>现代联络走廊背墙</x:v>
      </x:c>
      <x:c r="F54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蓝灰干净壁板，稀疏嵌入式检修盖；角色活动高度保留连续净空。封边只是背墙收口，不能是堵路的前景实墙。</x:v>
      </x:c>
      <x:c r="G54" s="37" t="str">
        <x:v>现代办公科研楼的封闭联络走廊背墙、嵌入式检修盖与边缘收口，参考简洁连续壁板。只参考结构，按本版色板绘制为二维正交侧视素材，不照搬对象的原配色、品牌或文字。</x:v>
      </x:c>
      <x:c r="H54" s="43" t="n">
        <x:f>COUNTIF('逐张提示词'!$B$8:$B$314,A54)</x:f>
        <x:v>3</x:v>
      </x:c>
      <x:c r="I54" s="37" t="str">
        <x:v>模块</x:v>
      </x:c>
      <x:c r="J54" s="37" t="str">
        <x:v>常态静态素材</x:v>
      </x:c>
      <x:c r="K54" s="37" t="str">
        <x:v>middle=1024×512 px；edge_left/edge_right各256×512 px。</x:v>
      </x:c>
      <x:c r="L54" s="37" t="str">
        <x:v>RGBA透明PNG，sRGB，8bit；一unit一文件；文件名=name+'_'+suffix+'.png'。</x:v>
      </x:c>
      <x:c r="M54" s="37" t="str">
        <x:v>背墙下缘左端，对应实际走廊地板。</x:v>
      </x:c>
      <x:c r="N54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54" s="37" t="str">
        <x:v>常态装配显示；本轮仅需求文档，尚未生成或接入。不得自行新增交互、产能、伤害、通行或研究规则。</x:v>
      </x:c>
      <x:c r="P54" s="37" t="str">
        <x:v>替换ENV_004三件；现水平CORRIDOR/ROOM/SAFE边都复用此背景，不增加新路口或封门。</x:v>
      </x:c>
      <x:c r="Q54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54" s="37" t="str">
        <x:v>待生成／待接入</x:v>
      </x:c>
      <x:c r="S54" s="37" t="str">
        <x:v>ENV_004</x:v>
      </x:c>
    </x:row>
    <x:row r="55" ht="100.5" customHeight="1">
      <x:c r="A55" s="38" t="str">
        <x:v>ENV_V2_005</x:v>
      </x:c>
      <x:c r="B55" s="38" t="str">
        <x:v>P0常态</x:v>
      </x:c>
      <x:c r="C55" s="38" t="str">
        <x:v>门窗通行</x:v>
      </x:c>
      <x:c r="D55" s="38" t="str">
        <x:v>nm_v2_env_access_door_frame</x:v>
      </x:c>
      <x:c r="E55" s="38" t="str">
        <x:v>现代门禁安全门固定框</x:v>
      </x:c>
      <x:c r="F55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窄高蓝灰金属框、冷白安全内衬，顶部仅留独立状态灯安装位；开口透明。可左右翻转适配N01/N03右门与N02/N04/N05/SAFE左门。门框无监狱栅条和重警戒条。</x:v>
      </x:c>
      <x:c r="G55" s="38" t="str">
        <x:v>现代实验室玻璃安全门的窄金属固定框、洁净室门口边封和顶部指示灯安装位，参考开口净空。只参考结构，按本版色板绘制为二维正交侧视素材，不照搬对象的原配色、品牌或文字。</x:v>
      </x:c>
      <x:c r="H55" s="44" t="n">
        <x:f>COUNTIF('逐张提示词'!$B$8:$B$314,A55)</x:f>
        <x:v>1</x:v>
      </x:c>
      <x:c r="I55" s="38" t="str">
        <x:v>模块</x:v>
      </x:c>
      <x:c r="J55" s="38" t="str">
        <x:v>常态静态素材</x:v>
      </x:c>
      <x:c r="K55" s="38" t="str">
        <x:v>512×1024 px。</x:v>
      </x:c>
      <x:c r="L55" s="38" t="str">
        <x:v>RGBA透明PNG，sRGB，8bit；一unit一文件；文件名=name+'_'+suffix+'.png'。</x:v>
      </x:c>
      <x:c r="M55" s="38" t="str">
        <x:v>底部通行口中心，对齐各doorNode及safe-door。</x:v>
      </x:c>
      <x:c r="N55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55" s="38" t="str">
        <x:v>常态装配显示；本轮仅需求文档，尚未生成或接入。不得自行新增交互、产能、伤害、通行或研究规则。</x:v>
      </x:c>
      <x:c r="P55" s="38" t="str">
        <x:v>ENV_005固定框原位替换，既有约38×137显示尺度优先保持；新增门禁读卡器另列ENV_V2_029，不生成开门姿态。</x:v>
      </x:c>
      <x:c r="Q55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55" s="38" t="str">
        <x:v>待生成／待接入</x:v>
      </x:c>
      <x:c r="S55" s="38" t="str">
        <x:v>ENV_005</x:v>
      </x:c>
    </x:row>
    <x:row r="56" ht="100.5" customHeight="1">
      <x:c r="A56" s="37" t="str">
        <x:v>ENV_V2_006</x:v>
      </x:c>
      <x:c r="B56" s="37" t="str">
        <x:v>P0常态</x:v>
      </x:c>
      <x:c r="C56" s="37" t="str">
        <x:v>门窗通行</x:v>
      </x:c>
      <x:c r="D56" s="37" t="str">
        <x:v>nm_v2_env_access_door_leaf</x:v>
      </x:c>
      <x:c r="E56" s="37" t="str">
        <x:v>可分离滑动安全门扇</x:v>
      </x:c>
      <x:c r="F56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单独关闭位置的窄门扇，平整蓝灰金属板、细冷白玻璃窄窗；无把手交互暗示、无警报文字。门扇与框分离便于现有真实开关显示。</x:v>
      </x:c>
      <x:c r="G56" s="37" t="str">
        <x:v>现代实验室窄滑动门扇、蓝灰金属覆板与细玻璃观察条，参考可独立拆卸的门扇轮廓。只参考结构，按本版色板绘制为二维正交侧视素材，不照搬对象的原配色、品牌或文字。</x:v>
      </x:c>
      <x:c r="H56" s="43" t="n">
        <x:f>COUNTIF('逐张提示词'!$B$8:$B$314,A56)</x:f>
        <x:v>1</x:v>
      </x:c>
      <x:c r="I56" s="37" t="str">
        <x:v>模块</x:v>
      </x:c>
      <x:c r="J56" s="37" t="str">
        <x:v>常态静态素材</x:v>
      </x:c>
      <x:c r="K56" s="37" t="str">
        <x:v>256×1024 px。</x:v>
      </x:c>
      <x:c r="L56" s="37" t="str">
        <x:v>RGBA透明PNG，sRGB，8bit；一unit一文件；文件名=name+'_'+suffix+'.png'。</x:v>
      </x:c>
      <x:c r="M56" s="37" t="str">
        <x:v>门扇下边中心，与门框脚底一致。</x:v>
      </x:c>
      <x:c r="N56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56" s="37" t="str">
        <x:v>后续接入复用现有setDoorOpen：关闭时显示独立门扇、打开时按既有逻辑隐藏；不由图片或动画决定通行。</x:v>
      </x:c>
      <x:c r="P56" s="37" t="str">
        <x:v>ENV_006原位替换；继续按既有员工接近/房间失效控制可见性，不能给纹理附加自动锁门、延迟或新的开门机制。</x:v>
      </x:c>
      <x:c r="Q56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56" s="37" t="str">
        <x:v>待生成／待接入</x:v>
      </x:c>
      <x:c r="S56" s="37" t="str">
        <x:v>ENV_006</x:v>
      </x:c>
    </x:row>
    <x:row r="57" ht="100.5" customHeight="1">
      <x:c r="A57" s="38" t="str">
        <x:v>ENV_V2_007</x:v>
      </x:c>
      <x:c r="B57" s="38" t="str">
        <x:v>P0常态</x:v>
      </x:c>
      <x:c r="C57" s="38" t="str">
        <x:v>门窗通行</x:v>
      </x:c>
      <x:c r="D57" s="38" t="str">
        <x:v>nm_v2_env_observation_window</x:v>
      </x:c>
      <x:c r="E57" s="38" t="str">
        <x:v>观察玻璃窗三层</x:v>
      </x:c>
      <x:c r="F57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细而清楚的金属框、冷白蓝灰透明玻璃、边角克制反射。框内口保持透明，玻璃与反光独立，画面中心可看清样本。反光不得含人物、怪物或另一房间倒影。</x:v>
      </x:c>
      <x:c r="G57" s="38" t="str">
        <x:v>现代医院玻璃隔断、实验室观察窗的窄金属框与低反光玻璃，参考框、玻璃、反光分层关系。只参考结构，按本版色板绘制为二维正交侧视素材，不照搬对象的原配色、品牌或文字。</x:v>
      </x:c>
      <x:c r="H57" s="44" t="n">
        <x:f>COUNTIF('逐张提示词'!$B$8:$B$314,A57)</x:f>
        <x:v>3</x:v>
      </x:c>
      <x:c r="I57" s="38" t="str">
        <x:v>模块</x:v>
      </x:c>
      <x:c r="J57" s="38" t="str">
        <x:v>常态静态素材</x:v>
      </x:c>
      <x:c r="K57" s="38" t="str">
        <x:v>frame/glass/reflection均1024×768 px，同画布配准。</x:v>
      </x:c>
      <x:c r="L57" s="38" t="str">
        <x:v>RGBA透明PNG，sRGB，8bit；一unit一文件；文件名=name+'_'+suffix+'.png'。</x:v>
      </x:c>
      <x:c r="M57" s="38" t="str">
        <x:v>统一窗口左上；内口边界一致。</x:v>
      </x:c>
      <x:c r="N57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57" s="38" t="str">
        <x:v>常态装配显示；本轮仅需求文档，尚未生成或接入。不得自行新增交互、产能、伤害、通行或研究规则。</x:v>
      </x:c>
      <x:c r="P57" s="38" t="str">
        <x:v>ENV_007三层替换；适配现收容室、调度大厅、医疗观察窗。显示层将原低对比灰绿改冷白蓝，不新增长窗所暗示的房间。</x:v>
      </x:c>
      <x:c r="Q57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57" s="38" t="str">
        <x:v>待生成／待接入</x:v>
      </x:c>
      <x:c r="S57" s="38" t="str">
        <x:v>ENV_007</x:v>
      </x:c>
    </x:row>
    <x:row r="58" ht="100.5" customHeight="1">
      <x:c r="A58" s="37" t="str">
        <x:v>ENV_V2_008</x:v>
      </x:c>
      <x:c r="B58" s="37" t="str">
        <x:v>P0常态</x:v>
      </x:c>
      <x:c r="C58" s="37" t="str">
        <x:v>竖向交通</x:v>
      </x:c>
      <x:c r="D58" s="37" t="str">
        <x:v>nm_v2_env_transit_ladder</x:v>
      </x:c>
      <x:c r="E58" s="37" t="str">
        <x:v>现代联络井梯架与井壁</x:v>
      </x:c>
      <x:c r="F58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固定检修梯，干净金属侧轨、防滑横档与低对比井壁；上下可重复。梯架中心必须清楚，支撑现有人物逐步攀爬动作。虽附件允许竖向交通多种形态，本工程继续使用真实梯井。</x:v>
      </x:c>
      <x:c r="G58" s="37" t="str">
        <x:v>现代科研建筑检修通道的固定金属梯、均匀防滑横档与封闭蓝灰井壁，参考真实攀爬结构，不参考电梯厢。只参考结构，按本版色板绘制为二维正交侧视素材，不照搬对象的原配色、品牌或文字。</x:v>
      </x:c>
      <x:c r="H58" s="43" t="n">
        <x:f>COUNTIF('逐张提示词'!$B$8:$B$314,A58)</x:f>
        <x:v>2</x:v>
      </x:c>
      <x:c r="I58" s="37" t="str">
        <x:v>模块</x:v>
      </x:c>
      <x:c r="J58" s="37" t="str">
        <x:v>常态静态素材</x:v>
      </x:c>
      <x:c r="K58" s="37" t="str">
        <x:v>ladder/shaft_wall均512×1024 px。</x:v>
      </x:c>
      <x:c r="L58" s="37" t="str">
        <x:v>RGBA透明PNG，sRGB，8bit；一unit一文件；文件名=name+'_'+suffix+'.png'。</x:v>
      </x:c>
      <x:c r="M58" s="37" t="str">
        <x:v>梯架中轴上端；井壁左上；上下重复节距统一。</x:v>
      </x:c>
      <x:c r="N58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58" s="37" t="str">
        <x:v>常态装配显示；本轮仅需求文档，尚未生成或接入。不得自行新增交互、产能、伤害、通行或研究规则。</x:v>
      </x:c>
      <x:c r="P58" s="37" t="str">
        <x:v>ENV_008两件原位替换，继续140逻辑像素分段重复及尾段裁切，不能拉长横档节距。A/B/C全部连接保持，绝不新增电梯厢、自动升降或瞬移。</x:v>
      </x:c>
      <x:c r="Q58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58" s="37" t="str">
        <x:v>待生成／待接入</x:v>
      </x:c>
      <x:c r="S58" s="37" t="str">
        <x:v>ENV_008</x:v>
      </x:c>
    </x:row>
    <x:row r="59" ht="100.5" customHeight="1">
      <x:c r="A59" s="38" t="str">
        <x:v>ENV_V2_009</x:v>
      </x:c>
      <x:c r="B59" s="38" t="str">
        <x:v>P0常态</x:v>
      </x:c>
      <x:c r="C59" s="38" t="str">
        <x:v>竖向交通</x:v>
      </x:c>
      <x:c r="D59" s="38" t="str">
        <x:v>nm_v2_env_transit_landing</x:v>
      </x:c>
      <x:c r="E59" s="38" t="str">
        <x:v>真实连接节点落脚平台</x:v>
      </x:c>
      <x:c r="F59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短水平金属网格踏板，清楚承重上沿、透空稀疏格纹；平台应能看到下面梯架，角色停留时有支撑但不能完全封住上下通道。</x:v>
      </x:c>
      <x:c r="G59" s="38" t="str">
        <x:v>现代设备夹层的透空金属踏板和检修梯落脚格栅，参考薄而清楚的承重上沿与通透结构。只参考结构，按本版色板绘制为二维正交侧视素材，不照搬对象的原配色、品牌或文字。</x:v>
      </x:c>
      <x:c r="H59" s="44" t="n">
        <x:f>COUNTIF('逐张提示词'!$B$8:$B$314,A59)</x:f>
        <x:v>1</x:v>
      </x:c>
      <x:c r="I59" s="38" t="str">
        <x:v>模块</x:v>
      </x:c>
      <x:c r="J59" s="38" t="str">
        <x:v>常态静态素材</x:v>
      </x:c>
      <x:c r="K59" s="38" t="str">
        <x:v>1024×256 px。</x:v>
      </x:c>
      <x:c r="L59" s="38" t="str">
        <x:v>RGBA透明PNG，sRGB，8bit；一unit一文件；文件名=name+'_'+suffix+'.png'。</x:v>
      </x:c>
      <x:c r="M59" s="38" t="str">
        <x:v>平台上承重线中点，对齐真实连接节点。</x:v>
      </x:c>
      <x:c r="N59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59" s="38" t="str">
        <x:v>常态装配显示；本轮仅需求文档，尚未生成或接入。不得自行新增交互、产能、伤害、通行或研究规则。</x:v>
      </x:c>
      <x:c r="P59" s="38" t="str">
        <x:v>ENV_009替换；仍在既有TRANSIT相邻节点装配约136×11展示。不创建新平台节点、隐藏房间或可走夹层。</x:v>
      </x:c>
      <x:c r="Q59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59" s="38" t="str">
        <x:v>待生成／待接入</x:v>
      </x:c>
      <x:c r="S59" s="38" t="str">
        <x:v>ENV_009</x:v>
      </x:c>
    </x:row>
    <x:row r="60" ht="100.5" customHeight="1">
      <x:c r="A60" s="37" t="str">
        <x:v>ENV_V2_010</x:v>
      </x:c>
      <x:c r="B60" s="37" t="str">
        <x:v>P0常态</x:v>
      </x:c>
      <x:c r="C60" s="37" t="str">
        <x:v>公共设备</x:v>
      </x:c>
      <x:c r="D60" s="37" t="str">
        <x:v>nm_v2_env_linear_ceiling_light</x:v>
      </x:c>
      <x:c r="E60" s="37" t="str">
        <x:v>现代线性顶灯</x:v>
      </x:c>
      <x:c r="F60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窄扁金属灯罩与独立冷白漫射光条；常态灯温中性、医疗偏冷白，N01/N05可少量暖柔光。光条单层不带大光锥，不用黄铜灯罩或矿灯造型。</x:v>
      </x:c>
      <x:c r="G60" s="37" t="str">
        <x:v>现代医院与中控办公室的窄型线性顶灯、铝制灯槽及乳白漫射条，参考独立外壳与光源结构。只参考结构，按本版色板绘制为二维正交侧视素材，不照搬对象的原配色、品牌或文字。</x:v>
      </x:c>
      <x:c r="H60" s="43" t="n">
        <x:f>COUNTIF('逐张提示词'!$B$8:$B$314,A60)</x:f>
        <x:v>2</x:v>
      </x:c>
      <x:c r="I60" s="37" t="str">
        <x:v>模块</x:v>
      </x:c>
      <x:c r="J60" s="37" t="str">
        <x:v>常态静态素材</x:v>
      </x:c>
      <x:c r="K60" s="37" t="str">
        <x:v>housing/light_strip均1024×256 px，统一安装线。</x:v>
      </x:c>
      <x:c r="L60" s="37" t="str">
        <x:v>RGBA透明PNG，sRGB，8bit；一unit一文件；文件名=name+'_'+suffix+'.png'。</x:v>
      </x:c>
      <x:c r="M60" s="37" t="str">
        <x:v>上方安装线中心。</x:v>
      </x:c>
      <x:c r="N60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60" s="37" t="str">
        <x:v>常态装配显示；本轮仅需求文档，尚未生成或接入。不得自行新增交互、产能、伤害、通行或研究规则。</x:v>
      </x:c>
      <x:c r="P60" s="37" t="str">
        <x:v>ENV_010外壳/灯条替换；当前静态照明点位不变。若后续状态闪烁必须受模拟时间驱动，不添加永久失效红光。</x:v>
      </x:c>
      <x:c r="Q60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60" s="37" t="str">
        <x:v>待生成／待接入</x:v>
      </x:c>
      <x:c r="S60" s="37" t="str">
        <x:v>ENV_010</x:v>
      </x:c>
    </x:row>
    <x:row r="61" ht="100.5" customHeight="1">
      <x:c r="A61" s="38" t="str">
        <x:v>ENV_V2_011</x:v>
      </x:c>
      <x:c r="B61" s="38" t="str">
        <x:v>P0常态</x:v>
      </x:c>
      <x:c r="C61" s="38" t="str">
        <x:v>公共设备</x:v>
      </x:c>
      <x:c r="D61" s="38" t="str">
        <x:v>nm_v2_env_service_conduit</x:v>
      </x:c>
      <x:c r="E61" s="38" t="str">
        <x:v>封闭服务管线与智能阀模块</x:v>
      </x:c>
      <x:c r="F61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平整蓝灰包覆管线，固定卡扣与微弱冷青标识；接口口径一致。机械手轮改小型密封电控阀盒；不得画腐蚀液、漏水、锈斑或显眼警戒条。</x:v>
      </x:c>
      <x:c r="G61" s="38" t="str">
        <x:v>现代数据中心的封闭服务管道、整洁线槽、直角接头与小型电控阀盒，参考统一截面和紧凑安装结构。只参考结构，按本版色板绘制为二维正交侧视素材，不照搬对象的原配色、品牌或文字。</x:v>
      </x:c>
      <x:c r="H61" s="44" t="n">
        <x:f>COUNTIF('逐张提示词'!$B$8:$B$314,A61)</x:f>
        <x:v>4</x:v>
      </x:c>
      <x:c r="I61" s="38" t="str">
        <x:v>模块</x:v>
      </x:c>
      <x:c r="J61" s="38" t="str">
        <x:v>常态静态素材</x:v>
      </x:c>
      <x:c r="K61" s="38" t="str">
        <x:v>horizontal=1024×256 px；vertical=256×1024 px；elbow/valve各512×512 px。</x:v>
      </x:c>
      <x:c r="L61" s="38" t="str">
        <x:v>RGBA透明PNG，sRGB，8bit；一unit一文件；文件名=name+'_'+suffix+'.png'。</x:v>
      </x:c>
      <x:c r="M61" s="38" t="str">
        <x:v>直段中轴起点；弯头接口交点；阀模块安装中心。</x:v>
      </x:c>
      <x:c r="N61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61" s="38" t="str">
        <x:v>常态装配显示；本轮仅需求文档，尚未生成或接入。不得自行新增交互、产能、伤害、通行或研究规则。</x:v>
      </x:c>
      <x:c r="P61" s="38" t="str">
        <x:v>ENV_011 pipe_horizontal→horizontal、pipe_vertical→vertical、elbow→elbow、handwheel_valve→valve；阀盒只替换原装饰手轮位置，不可点击。N05原制冷管后续表现为安抚舱服务线，现通路保持。</x:v>
      </x:c>
      <x:c r="Q61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61" s="38" t="str">
        <x:v>待生成／待接入</x:v>
      </x:c>
      <x:c r="S61" s="38" t="str">
        <x:v>ENV_011</x:v>
      </x:c>
    </x:row>
    <x:row r="62" ht="100.5" customHeight="1">
      <x:c r="A62" s="37" t="str">
        <x:v>ENV_V2_012</x:v>
      </x:c>
      <x:c r="B62" s="37" t="str">
        <x:v>P0常态</x:v>
      </x:c>
      <x:c r="C62" s="37" t="str">
        <x:v>工作设备</x:v>
      </x:c>
      <x:c r="D62" s="37" t="str">
        <x:v>nm_v2_env_touch_console</x:v>
      </x:c>
      <x:c r="E62" s="37" t="str">
        <x:v>员工工作与调度触控台</x:v>
      </x:c>
      <x:c r="F62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单个低矮现代工作台，薄斜面触屏、金属底座与简洁操作区；屏幕保持可覆盖的净空底，真实工作进度另绘。台面不能遮住站位员工上身或武器。</x:v>
      </x:c>
      <x:c r="G62" s="37" t="str">
        <x:v>现代调度中心的低矮触控工作台、内容管理工作站与薄斜面操作屏，参考适合站姿操作的台面比例。只参考结构，按本版色板绘制为二维正交侧视素材，不照搬对象的原配色、品牌或文字。</x:v>
      </x:c>
      <x:c r="H62" s="43" t="n">
        <x:f>COUNTIF('逐张提示词'!$B$8:$B$314,A62)</x:f>
        <x:v>1</x:v>
      </x:c>
      <x:c r="I62" s="37" t="str">
        <x:v>设备</x:v>
      </x:c>
      <x:c r="J62" s="37" t="str">
        <x:v>常态静态素材</x:v>
      </x:c>
      <x:c r="K62" s="37" t="str">
        <x:v>1024×512 px。</x:v>
      </x:c>
      <x:c r="L62" s="37" t="str">
        <x:v>RGBA透明PNG，sRGB，8bit；一unit一文件；文件名=name+'_'+suffix+'.png'。</x:v>
      </x:c>
      <x:c r="M62" s="37" t="str">
        <x:v>底座落地线中点。</x:v>
      </x:c>
      <x:c r="N62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62" s="37" t="str">
        <x:v>常态装配显示；本轮仅需求文档，尚未生成或接入。不得自行新增交互、产能、伤害、通行或研究规则。</x:v>
      </x:c>
      <x:c r="P62" s="37" t="str">
        <x:v>ENV_012控制台原位替换，五间工作位和调度台复用；不因新增屏幕改变工作入口、工作类型或产能。</x:v>
      </x:c>
      <x:c r="Q62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62" s="37" t="str">
        <x:v>待生成／待接入</x:v>
      </x:c>
      <x:c r="S62" s="37" t="str">
        <x:v>ENV_012</x:v>
      </x:c>
    </x:row>
    <x:row r="63" ht="100.5" customHeight="1">
      <x:c r="A63" s="38" t="str">
        <x:v>ENV_V2_013</x:v>
      </x:c>
      <x:c r="B63" s="38" t="str">
        <x:v>P0常态</x:v>
      </x:c>
      <x:c r="C63" s="38" t="str">
        <x:v>工作设备</x:v>
      </x:c>
      <x:c r="D63" s="38" t="str">
        <x:v>nm_v2_env_flat_wall_display</x:v>
      </x:c>
      <x:c r="E63" s="38" t="str">
        <x:v>平板监测屏机壳与底屏</x:v>
      </x:c>
      <x:c r="F63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超薄墙挂平板屏，细金属边框，暗蓝灰空白显示区；干净平面玻璃，不画厚背壳/旋钮/CRT凸面。常态屏可由运行时叠内容，P1污染为另层。</x:v>
      </x:c>
      <x:c r="G63" s="38" t="str">
        <x:v>现代中控室墙挂平板监测屏、薄边玻璃显示器，参考窄边框和独立显示面的配准，不参考厚CRT电视。只参考结构，按本版色板绘制为二维正交侧视素材，不照搬对象的原配色、品牌或文字。</x:v>
      </x:c>
      <x:c r="H63" s="44" t="n">
        <x:f>COUNTIF('逐张提示词'!$B$8:$B$314,A63)</x:f>
        <x:v>2</x:v>
      </x:c>
      <x:c r="I63" s="38" t="str">
        <x:v>设备</x:v>
      </x:c>
      <x:c r="J63" s="38" t="str">
        <x:v>常态静态素材</x:v>
      </x:c>
      <x:c r="K63" s="38" t="str">
        <x:v>housing/blank_screen均1024×768 px。</x:v>
      </x:c>
      <x:c r="L63" s="38" t="str">
        <x:v>RGBA透明PNG，sRGB，8bit；一unit一文件；文件名=name+'_'+suffix+'.png'。</x:v>
      </x:c>
      <x:c r="M63" s="38" t="str">
        <x:v>同画布左上；记录有效显示区矩形，2层配准。</x:v>
      </x:c>
      <x:c r="N63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63" s="38" t="str">
        <x:v>常态装配显示；本轮仅需求文档，尚未生成或接入。不得自行新增交互、产能、伤害、通行或研究规则。</x:v>
      </x:c>
      <x:c r="P63" s="38" t="str">
        <x:v>ENV_013旧CRT两件改平板两件；后续显示适配须更新原机壳14%/15%/64%屏内口摆放，不能直接套旧CRT偏移造成屏幕悬空。本轮仅需求，不修改实现。</x:v>
      </x:c>
      <x:c r="Q63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63" s="38" t="str">
        <x:v>待生成／待接入</x:v>
      </x:c>
      <x:c r="S63" s="38" t="str">
        <x:v>ENV_013</x:v>
      </x:c>
    </x:row>
    <x:row r="64" ht="100.5" customHeight="1">
      <x:c r="A64" s="37" t="str">
        <x:v>ENV_V2_014</x:v>
      </x:c>
      <x:c r="B64" s="37" t="str">
        <x:v>P0常态</x:v>
      </x:c>
      <x:c r="C64" s="37" t="str">
        <x:v>工作设备</x:v>
      </x:c>
      <x:c r="D64" s="37" t="str">
        <x:v>nm_v2_env_status_panel</x:v>
      </x:c>
      <x:c r="E64" s="37" t="str">
        <x:v>数字状态面板与指示层</x:v>
      </x:c>
      <x:c r="F64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小型方圆角数字状态面板，玻璃黑底和冷青短指示槽；不预印数字、不画模拟表盘和指针。指示层为单一静态中性光段，真实状态及数值必须后加。</x:v>
      </x:c>
      <x:c r="G64" s="37" t="str">
        <x:v>现代实验室小型数字状态屏、圆角设备监测面板与简洁指示光槽，参考壳体、净空显示区和独立光段。只参考结构，按本版色板绘制为二维正交侧视素材，不照搬对象的原配色、品牌或文字。</x:v>
      </x:c>
      <x:c r="H64" s="43" t="n">
        <x:f>COUNTIF('逐张提示词'!$B$8:$B$314,A64)</x:f>
        <x:v>2</x:v>
      </x:c>
      <x:c r="I64" s="37" t="str">
        <x:v>设备</x:v>
      </x:c>
      <x:c r="J64" s="37" t="str">
        <x:v>常态静态素材</x:v>
      </x:c>
      <x:c r="K64" s="37" t="str">
        <x:v>housing/status_strip均512×512 px。</x:v>
      </x:c>
      <x:c r="L64" s="37" t="str">
        <x:v>RGBA透明PNG，sRGB，8bit；一unit一文件；文件名=name+'_'+suffix+'.png'。</x:v>
      </x:c>
      <x:c r="M64" s="37" t="str">
        <x:v>2层画布中心配准；可用显示区矩形写入交付说明。</x:v>
      </x:c>
      <x:c r="N64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64" s="37" t="str">
        <x:v>常态装配显示；本轮仅需求文档，尚未生成或接入。不得自行新增交互、产能、伤害、通行或研究规则。</x:v>
      </x:c>
      <x:c r="P64" s="37" t="str">
        <x:v>ENV_014 dial→housing、needle→status_strip；替换指挥中枢与N01已有小表点位。后续gauge显示适配改为同心面板两层，不沿用旧指针的非等比例细长拉伸；不增加测量玩法。</x:v>
      </x:c>
      <x:c r="Q64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64" s="37" t="str">
        <x:v>待生成／待接入</x:v>
      </x:c>
      <x:c r="S64" s="37" t="str">
        <x:v>ENV_014</x:v>
      </x:c>
    </x:row>
    <x:row r="65" ht="100.5" customHeight="1">
      <x:c r="A65" s="38" t="str">
        <x:v>ENV_V2_015</x:v>
      </x:c>
      <x:c r="B65" s="38" t="str">
        <x:v>P0常态</x:v>
      </x:c>
      <x:c r="C65" s="38" t="str">
        <x:v>部门结构</x:v>
      </x:c>
      <x:c r="D65" s="38" t="str">
        <x:v>nm_v2_env_hall_support</x:v>
      </x:c>
      <x:c r="E65" s="38" t="str">
        <x:v>大厅壁柱与顶部横构</x:v>
      </x:c>
      <x:c r="F65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干净蓝灰结构柱、细玻璃连接扣和低对比顶部横构，结构稳定平直；用于拉开部门大堂层次。置于人物后方，不能画成阻拦真实路线的密闭框或狱栏。</x:v>
      </x:c>
      <x:c r="G65" s="38" t="str">
        <x:v>现代科研楼中庭的金属壁柱、玻璃连接扣与顶部横向构件，参考稳定平直的背景承重骨架。只参考结构，按本版色板绘制为二维正交侧视素材，不照搬对象的原配色、品牌或文字。</x:v>
      </x:c>
      <x:c r="H65" s="44" t="n">
        <x:f>COUNTIF('逐张提示词'!$B$8:$B$314,A65)</x:f>
        <x:v>2</x:v>
      </x:c>
      <x:c r="I65" s="38" t="str">
        <x:v>模块</x:v>
      </x:c>
      <x:c r="J65" s="38" t="str">
        <x:v>常态静态素材</x:v>
      </x:c>
      <x:c r="K65" s="38" t="str">
        <x:v>column=512×1024 px；beam=1024×256 px。</x:v>
      </x:c>
      <x:c r="L65" s="38" t="str">
        <x:v>RGBA透明PNG，sRGB，8bit；一unit一文件；文件名=name+'_'+suffix+'.png'。</x:v>
      </x:c>
      <x:c r="M65" s="38" t="str">
        <x:v>壁柱底部中轴；横构左安装端。</x:v>
      </x:c>
      <x:c r="N65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65" s="38" t="str">
        <x:v>常态装配显示；本轮仅需求文档，尚未生成或接入。不得自行新增交互、产能、伤害、通行或研究规则。</x:v>
      </x:c>
      <x:c r="P65" s="38" t="str">
        <x:v>ENV_015 buttress→column、top_beam→beam；复用control/operations/broadcast现有点位，保持五大厅不齐整宽高与路径净空。</x:v>
      </x:c>
      <x:c r="Q65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65" s="38" t="str">
        <x:v>待生成／待接入</x:v>
      </x:c>
      <x:c r="S65" s="38" t="str">
        <x:v>ENV_015</x:v>
      </x:c>
    </x:row>
    <x:row r="66" ht="100.5" customHeight="1">
      <x:c r="A66" s="37" t="str">
        <x:v>ENV_V2_016</x:v>
      </x:c>
      <x:c r="B66" s="37" t="str">
        <x:v>P0常态</x:v>
      </x:c>
      <x:c r="C66" s="37" t="str">
        <x:v>休整设备</x:v>
      </x:c>
      <x:c r="D66" s="37" t="str">
        <x:v>nm_v2_env_waiting_bench</x:v>
      </x:c>
      <x:c r="E66" s="37" t="str">
        <x:v>现代休整连座长椅</x:v>
      </x:c>
      <x:c r="F66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灰蓝软垫、简洁金属连座骨架，舒服且专业；非旧木铁椅、非牢房凳。低矮背靠不挡员工；不含座位上的人。</x:v>
      </x:c>
      <x:c r="G66" s="37" t="str">
        <x:v>现代医院等候区的浅灰蓝软垫连座椅、简洁金属支脚和低靠背，参考舒适而专业的家具比例。只参考结构，按本版色板绘制为二维正交侧视素材，不照搬对象的原配色、品牌或文字。</x:v>
      </x:c>
      <x:c r="H66" s="43" t="n">
        <x:f>COUNTIF('逐张提示词'!$B$8:$B$314,A66)</x:f>
        <x:v>1</x:v>
      </x:c>
      <x:c r="I66" s="37" t="str">
        <x:v>设备</x:v>
      </x:c>
      <x:c r="J66" s="37" t="str">
        <x:v>常态静态素材</x:v>
      </x:c>
      <x:c r="K66" s="37" t="str">
        <x:v>1024×512 px。</x:v>
      </x:c>
      <x:c r="L66" s="37" t="str">
        <x:v>RGBA透明PNG，sRGB，8bit；一unit一文件；文件名=name+'_'+suffix+'.png'。</x:v>
      </x:c>
      <x:c r="M66" s="37" t="str">
        <x:v>两脚落地线中点。</x:v>
      </x:c>
      <x:c r="N66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66" s="37" t="str">
        <x:v>常态装配显示；本轮仅需求文档，尚未生成或接入。不得自行新增交互、产能、伤害、通行或研究规则。</x:v>
      </x:c>
      <x:c r="P66" s="37" t="str">
        <x:v>ENV_016原位替换，仍在指挥/调度/医疗及N02已有摆放处做背景家具，不新增坐下恢复或容量限制。</x:v>
      </x:c>
      <x:c r="Q66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66" s="37" t="str">
        <x:v>待生成／待接入</x:v>
      </x:c>
      <x:c r="S66" s="37" t="str">
        <x:v>ENV_016</x:v>
      </x:c>
    </x:row>
    <x:row r="67" ht="100.5" customHeight="1">
      <x:c r="A67" s="38" t="str">
        <x:v>ENV_V2_017</x:v>
      </x:c>
      <x:c r="B67" s="38" t="str">
        <x:v>P0常态</x:v>
      </x:c>
      <x:c r="C67" s="38" t="str">
        <x:v>医疗安全区</x:v>
      </x:c>
      <x:c r="D67" s="38" t="str">
        <x:v>nm_v2_env_recovery_couch</x:v>
      </x:c>
      <x:c r="E67" s="38" t="str">
        <x:v>白蓝医疗休整床</x:v>
      </x:c>
      <x:c r="F67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舒适现代医疗休整床，白蓝洁净床垫与圆角轻金属架，单独软枕；不画束缚、手术器械或人体。保持此区与危险区明显区分，仍是既有安全区。</x:v>
      </x:c>
      <x:c r="G67" s="38" t="str">
        <x:v>现代门诊休整区的白蓝检查床、圆角轻金属床架、洁净薄床垫与独立软枕，参考侧视支撑结构。只参考结构，按本版色板绘制为二维正交侧视素材，不照搬对象的原配色、品牌或文字。</x:v>
      </x:c>
      <x:c r="H67" s="44" t="n">
        <x:f>COUNTIF('逐张提示词'!$B$8:$B$314,A67)</x:f>
        <x:v>2</x:v>
      </x:c>
      <x:c r="I67" s="38" t="str">
        <x:v>设备</x:v>
      </x:c>
      <x:c r="J67" s="38" t="str">
        <x:v>常态静态素材</x:v>
      </x:c>
      <x:c r="K67" s="38" t="str">
        <x:v>bed_frame_mattress=1024×512 px；pillow=512×256 px。</x:v>
      </x:c>
      <x:c r="L67" s="38" t="str">
        <x:v>RGBA透明PNG，sRGB，8bit；一unit一文件；文件名=name+'_'+suffix+'.png'。</x:v>
      </x:c>
      <x:c r="M67" s="38" t="str">
        <x:v>床脚落地中点；枕头底边中心。</x:v>
      </x:c>
      <x:c r="N67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67" s="38" t="str">
        <x:v>常态装配显示；本轮仅需求文档，尚未生成或接入。不得自行新增交互、产能、伤害、通行或研究规则。</x:v>
      </x:c>
      <x:c r="P67" s="38" t="str">
        <x:v>ENV_017两件原位替换。医疗与安全室共用现680×280区域、safePoint(1930,1130)，不新增医疗房间或按床位结算恢复。</x:v>
      </x:c>
      <x:c r="Q67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67" s="38" t="str">
        <x:v>待生成／待接入</x:v>
      </x:c>
      <x:c r="S67" s="38" t="str">
        <x:v>ENV_017</x:v>
      </x:c>
    </x:row>
    <x:row r="68" ht="100.5" customHeight="1">
      <x:c r="A68" s="37" t="str">
        <x:v>ENV_V2_018</x:v>
      </x:c>
      <x:c r="B68" s="37" t="str">
        <x:v>P0常态</x:v>
      </x:c>
      <x:c r="C68" s="37" t="str">
        <x:v>医疗安全区</x:v>
      </x:c>
      <x:c r="D68" s="37" t="str">
        <x:v>nm_v2_env_medical_station</x:v>
      </x:c>
      <x:c r="E68" s="37" t="str">
        <x:v>医疗储物柜与数字健康终端</x:v>
      </x:c>
      <x:c r="F68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冷白浅蓝密闭医用补给柜、薄边数字健康平板；以通用无品牌医疗标识和小色条辨识，平板无病历文字。既有纸质记录夹改为数字屏。</x:v>
      </x:c>
      <x:c r="G68" s="37" t="str">
        <x:v>现代医院的白蓝封闭补给柜、墙挂健康信息平板，参考窄柜门缝和薄型数字终端，不参考纸病历夹。只参考结构，按本版色板绘制为二维正交侧视素材，不照搬对象的原配色、品牌或文字。</x:v>
      </x:c>
      <x:c r="H68" s="43" t="n">
        <x:f>COUNTIF('逐张提示词'!$B$8:$B$314,A68)</x:f>
        <x:v>2</x:v>
      </x:c>
      <x:c r="I68" s="37" t="str">
        <x:v>设备</x:v>
      </x:c>
      <x:c r="J68" s="37" t="str">
        <x:v>常态静态素材</x:v>
      </x:c>
      <x:c r="K68" s="37" t="str">
        <x:v>cabinet=512×1024 px；health_tablet=512×768 px。</x:v>
      </x:c>
      <x:c r="L68" s="37" t="str">
        <x:v>RGBA透明PNG，sRGB，8bit；一unit一文件；文件名=name+'_'+suffix+'.png'。</x:v>
      </x:c>
      <x:c r="M68" s="37" t="str">
        <x:v>柜底边中心；平板墙挂安装点。</x:v>
      </x:c>
      <x:c r="N68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68" s="37" t="str">
        <x:v>常态装配显示；本轮仅需求文档，尚未生成或接入。不得自行新增交互、产能、伤害、通行或研究规则。</x:v>
      </x:c>
      <x:c r="P68" s="37" t="str">
        <x:v>ENV_018 cabinet→cabinet、blank_chart→health_tablet，沿原柜与记录夹点位换装；不增加药品库存、伤病系统、治疗按钮。</x:v>
      </x:c>
      <x:c r="Q68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68" s="37" t="str">
        <x:v>待生成／待接入</x:v>
      </x:c>
      <x:c r="S68" s="37" t="str">
        <x:v>ENV_018</x:v>
      </x:c>
    </x:row>
    <x:row r="69" ht="100.5" customHeight="1">
      <x:c r="A69" s="38" t="str">
        <x:v>ENV_V2_019</x:v>
      </x:c>
      <x:c r="B69" s="38" t="str">
        <x:v>P0常态</x:v>
      </x:c>
      <x:c r="C69" s="38" t="str">
        <x:v>记录回廊</x:v>
      </x:c>
      <x:c r="D69" s="38" t="str">
        <x:v>nm_v2_env_digital_archive</x:v>
      </x:c>
      <x:c r="E69" s="38" t="str">
        <x:v>数字档案机柜与检索部件</x:v>
      </x:c>
      <x:c r="F69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封闭数字档案柜/小型数据机柜；浅金属面板、细插槽、低亮度状态区。独立数据匣代纸文件夹，电子索引条代纸标签。不得有旧抽屉铜拉手、纸堆或图书馆书架。</x:v>
      </x:c>
      <x:c r="G69" s="38" t="str">
        <x:v>现代数字档案中心的小型封闭数据机柜、可拔插存储匣与电子索引条，参考干净插槽和紧凑模块，不参考纸柜书架。只参考结构，按本版色板绘制为二维正交侧视素材，不照搬对象的原配色、品牌或文字。</x:v>
      </x:c>
      <x:c r="H69" s="44" t="n">
        <x:f>COUNTIF('逐张提示词'!$B$8:$B$314,A69)</x:f>
        <x:v>3</x:v>
      </x:c>
      <x:c r="I69" s="38" t="str">
        <x:v>设备</x:v>
      </x:c>
      <x:c r="J69" s="38" t="str">
        <x:v>常态静态素材</x:v>
      </x:c>
      <x:c r="K69" s="38" t="str">
        <x:v>cabinet=1024×768 px；data_module=512×256 px；index_strip=512×128 px。</x:v>
      </x:c>
      <x:c r="L69" s="38" t="str">
        <x:v>RGBA透明PNG，sRGB，8bit；一unit一文件；文件名=name+'_'+suffix+'.png'。</x:v>
      </x:c>
      <x:c r="M69" s="38" t="str">
        <x:v>柜底边中心；数据匣与索引条左下。</x:v>
      </x:c>
      <x:c r="N69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69" s="38" t="str">
        <x:v>常态装配显示；本轮仅需求文档，尚未生成或接入。不得自行新增交互、产能、伤害、通行或研究规则。</x:v>
      </x:c>
      <x:c r="P69" s="38" t="str">
        <x:v>ENV_019 cabinet保留、folder→data_module、blank_label→index_strip；复用记录回廊现柜列并继续避开b-gallery梯井。仅视觉存储设备，不新增科研/档案生产资源。</x:v>
      </x:c>
      <x:c r="Q69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69" s="38" t="str">
        <x:v>待生成／待接入</x:v>
      </x:c>
      <x:c r="S69" s="38" t="str">
        <x:v>ENV_019</x:v>
      </x:c>
    </x:row>
    <x:row r="70" ht="100.5" customHeight="1">
      <x:c r="A70" s="37" t="str">
        <x:v>ENV_V2_020</x:v>
      </x:c>
      <x:c r="B70" s="37" t="str">
        <x:v>P0常态</x:v>
      </x:c>
      <x:c r="C70" s="37" t="str">
        <x:v>防卫联络厅</x:v>
      </x:c>
      <x:c r="D70" s="37" t="str">
        <x:v>nm_v2_env_network_speaker</x:v>
      </x:c>
      <x:c r="E70" s="37" t="str">
        <x:v>网络广播与联络终端</x:v>
      </x:c>
      <x:c r="F70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单个现代立式网络广播柱，细窄声学格栅、轻支架和紧凑基座；简洁提示灯安装位，非旧扩音喇叭喇叭口。体现机构联络功能而非舞台演唱设备。</x:v>
      </x:c>
      <x:c r="G70" s="37" t="str">
        <x:v>现代公共建筑的细窄网络广播柱、会议室联络音柱与紧凑支架基座，参考简洁声学格栅，不参考旧式扩音号角。只参考结构，按本版色板绘制为二维正交侧视素材，不照搬对象的原配色、品牌或文字。</x:v>
      </x:c>
      <x:c r="H70" s="43" t="n">
        <x:f>COUNTIF('逐张提示词'!$B$8:$B$314,A70)</x:f>
        <x:v>1</x:v>
      </x:c>
      <x:c r="I70" s="37" t="str">
        <x:v>设备</x:v>
      </x:c>
      <x:c r="J70" s="37" t="str">
        <x:v>常态静态素材</x:v>
      </x:c>
      <x:c r="K70" s="37" t="str">
        <x:v>768×1024 px。</x:v>
      </x:c>
      <x:c r="L70" s="37" t="str">
        <x:v>RGBA透明PNG，sRGB，8bit；一unit一文件；文件名=name+'_'+suffix+'.png'。</x:v>
      </x:c>
      <x:c r="M70" s="37" t="str">
        <x:v>底盒底边中心。</x:v>
      </x:c>
      <x:c r="N70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70" s="37" t="str">
        <x:v>常态装配显示；本轮仅需求文档，尚未生成或接入。不得自行新增交互、产能、伤害、通行或研究规则。</x:v>
      </x:c>
      <x:c r="P70" s="37" t="str">
        <x:v>ENV_020 horn→speaker，仍复用三个既有背景设备点；功能为视觉联络终端，不新增报警系统或监听玩法。</x:v>
      </x:c>
      <x:c r="Q70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70" s="37" t="str">
        <x:v>待生成／待接入</x:v>
      </x:c>
      <x:c r="S70" s="37" t="str">
        <x:v>ENV_020</x:v>
      </x:c>
    </x:row>
    <x:row r="71" ht="100.5" customHeight="1">
      <x:c r="A71" s="38" t="str">
        <x:v>ENV_V2_021</x:v>
      </x:c>
      <x:c r="B71" s="38" t="str">
        <x:v>P0常态</x:v>
      </x:c>
      <x:c r="C71" s="38" t="str">
        <x:v>冷却中继站</x:v>
      </x:c>
      <x:c r="D71" s="38" t="str">
        <x:v>nm_v2_env_cooling_core</x:v>
      </x:c>
      <x:c r="E71" s="38" t="str">
        <x:v>现代设备冷却核心</x:v>
      </x:c>
      <x:c r="F71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清洁设备冷却机箱、简洁环形格栅与独立四叶风轮；蓝灰/冷白，小面积青色状态边。不是冰窖或蒸汽锅炉。静态分层，转速/循环动画若接入必须另由模拟时钟驱动。</x:v>
      </x:c>
      <x:c r="G71" s="38" t="str">
        <x:v>现代数据中心的密闭冷却机组、圆形内腔风机与可拆转子，参考洁净机箱和机械分层，不参考冰窖锅炉。只参考结构，按本版色板绘制为二维正交侧视素材，不照搬对象的原配色、品牌或文字。</x:v>
      </x:c>
      <x:c r="H71" s="44" t="n">
        <x:f>COUNTIF('逐张提示词'!$B$8:$B$314,A71)</x:f>
        <x:v>2</x:v>
      </x:c>
      <x:c r="I71" s="38" t="str">
        <x:v>设备</x:v>
      </x:c>
      <x:c r="J71" s="38" t="str">
        <x:v>常态静态素材</x:v>
      </x:c>
      <x:c r="K71" s="38" t="str">
        <x:v>housing/rotor均1024×1024 px。</x:v>
      </x:c>
      <x:c r="L71" s="38" t="str">
        <x:v>RGBA透明PNG，sRGB，8bit；一unit一文件；文件名=name+'_'+suffix+'.png'。</x:v>
      </x:c>
      <x:c r="M71" s="38" t="str">
        <x:v>机箱底边中心；转子圆心与机箱内腔配准。</x:v>
      </x:c>
      <x:c r="N71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71" s="38" t="str">
        <x:v>常态装配显示；本轮仅需求文档，尚未生成或接入。不得自行新增交互、产能、伤害、通行或研究规则。</x:v>
      </x:c>
      <x:c r="P71" s="38" t="str">
        <x:v>ENV_021两件原位替换，保留冷却中继站两台设备；它是基础设施视觉，不能把N05新安抚主题误写成新增制冷或温度机制。</x:v>
      </x:c>
      <x:c r="Q71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71" s="38" t="str">
        <x:v>待生成／待接入</x:v>
      </x:c>
      <x:c r="S71" s="38" t="str">
        <x:v>ENV_021</x:v>
      </x:c>
    </x:row>
    <x:row r="72" ht="100.5" customHeight="1">
      <x:c r="A72" s="37" t="str">
        <x:v>ENV_V2_022</x:v>
      </x:c>
      <x:c r="B72" s="37" t="str">
        <x:v>P0常态</x:v>
      </x:c>
      <x:c r="C72" s="37" t="str">
        <x:v>N01低龄内容观察室</x:v>
      </x:c>
      <x:c r="D72" s="37" t="str">
        <x:v>nm_v2_env_n01_observation_pedestal</x:v>
      </x:c>
      <x:c r="E72" s="37" t="str">
        <x:v>奶龙室暖色观察终端</x:v>
      </x:c>
      <x:c r="F72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窄高现代观察终端，奶白主体与暖黄小面板，圆角但仍有专业仪器感；屏幕保持空白。与柔软陈列配合构成低龄内容观察室，不画成游乐园。</x:v>
      </x:c>
      <x:c r="G72" s="37" t="str">
        <x:v>儿童内容研究空间的奶白暖黄圆角观察仪、现代展示区互动信息柱，参考亲和色块与专业平面屏结构，不参考游乐设施。只参考结构，按本版色板绘制为二维正交侧视素材，不照搬对象的原配色、品牌或文字。</x:v>
      </x:c>
      <x:c r="H72" s="43" t="n">
        <x:f>COUNTIF('逐张提示词'!$B$8:$B$314,A72)</x:f>
        <x:v>1</x:v>
      </x:c>
      <x:c r="I72" s="37" t="str">
        <x:v>设备</x:v>
      </x:c>
      <x:c r="J72" s="37" t="str">
        <x:v>常态静态素材</x:v>
      </x:c>
      <x:c r="K72" s="37" t="str">
        <x:v>512×1024 px。</x:v>
      </x:c>
      <x:c r="L72" s="37" t="str">
        <x:v>RGBA透明PNG，sRGB，8bit；一unit一文件；文件名=name+'_'+suffix+'.png'。</x:v>
      </x:c>
      <x:c r="M72" s="37" t="str">
        <x:v>底边中心；可覆盖显示区另标。</x:v>
      </x:c>
      <x:c r="N72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72" s="37" t="str">
        <x:v>常态装配显示；本轮仅需求文档，尚未生成或接入。不得自行新增交互、产能、伤害、通行或研究规则。</x:v>
      </x:c>
      <x:c r="P72" s="37" t="str">
        <x:v>ENV_022 meter_cabinet→pedestal，复用N01原两侧柜位；原圆仪表换ENV_V2_014数字状态面板。N01工作点(450,460)、样本点(650,460)不变。</x:v>
      </x:c>
      <x:c r="Q72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72" s="37" t="str">
        <x:v>待生成／待接入</x:v>
      </x:c>
      <x:c r="S72" s="37" t="str">
        <x:v>ENV_022</x:v>
      </x:c>
    </x:row>
    <x:row r="73" ht="100.5" customHeight="1">
      <x:c r="A73" s="38" t="str">
        <x:v>ENV_V2_023</x:v>
      </x:c>
      <x:c r="B73" s="38" t="str">
        <x:v>P0常态</x:v>
      </x:c>
      <x:c r="C73" s="38" t="str">
        <x:v>N02高刺激反应室</x:v>
      </x:c>
      <x:c r="D73" s="38" t="str">
        <x:v>nm_v2_env_n02_emotion_station</x:v>
      </x:c>
      <x:c r="E73" s="38" t="str">
        <x:v>耄耋室反应观察设备</x:v>
      </x:c>
      <x:c r="F73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灰暖白/低饱和脏粉点缀的现代情绪反应观测架，轮廓稍紧凑但仍洁净；两个小监测头属于同一设备塔。独立壁面传感贴片替代破坏抓痕，屏幕内容不烘焙。比其他房略收敛光照，不做牢笼。</x:v>
      </x:c>
      <x:c r="G73" s="38" t="str">
        <x:v>现代情绪反应实验室的紧凑多点观测架、非接触壁面传感器，参考小监测头与支架安装关系，以暖灰和少量脏粉形成区别。只参考结构，按本版色板绘制为二维正交侧视素材，不照搬对象的原配色、品牌或文字。</x:v>
      </x:c>
      <x:c r="H73" s="44" t="n">
        <x:f>COUNTIF('逐张提示词'!$B$8:$B$314,A73)</x:f>
        <x:v>2</x:v>
      </x:c>
      <x:c r="I73" s="38" t="str">
        <x:v>设备</x:v>
      </x:c>
      <x:c r="J73" s="38" t="str">
        <x:v>常态静态素材</x:v>
      </x:c>
      <x:c r="K73" s="38" t="str">
        <x:v>sensor_tower=768×1024 px；sensor_pad=512×512 px。</x:v>
      </x:c>
      <x:c r="L73" s="38" t="str">
        <x:v>RGBA透明PNG，sRGB，8bit；一unit一文件；文件名=name+'_'+suffix+'.png'。</x:v>
      </x:c>
      <x:c r="M73" s="38" t="str">
        <x:v>塔底部中轴；传感贴片中心。</x:v>
      </x:c>
      <x:c r="N73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73" s="38" t="str">
        <x:v>常态装配显示；本轮仅需求文档，尚未生成或接入。不得自行新增交互、产能、伤害、通行或研究规则。</x:v>
      </x:c>
      <x:c r="P73" s="38" t="str">
        <x:v>ENV_023 wall_perch→sensor_tower、scratch_decal→sensor_pad，复用原右侧壁架与墙贴位置，替换材质/用途且不新增可攀平台。N02工作(2730,640)、实体(2850,640)、门(2450,640)保持。</x:v>
      </x:c>
      <x:c r="Q73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73" s="38" t="str">
        <x:v>待生成／待接入</x:v>
      </x:c>
      <x:c r="S73" s="38" t="str">
        <x:v>ENV_023</x:v>
      </x:c>
    </x:row>
    <x:row r="74" ht="100.5" customHeight="1">
      <x:c r="A74" s="37" t="str">
        <x:v>ENV_V2_024</x:v>
      </x:c>
      <x:c r="B74" s="37" t="str">
        <x:v>P0常态</x:v>
      </x:c>
      <x:c r="C74" s="37" t="str">
        <x:v>N03高响度内容处理室</x:v>
      </x:c>
      <x:c r="D74" s="37" t="str">
        <x:v>nm_v2_env_n03_acoustic_station</x:v>
      </x:c>
      <x:c r="E74" s="37" t="str">
        <x:v>大狗室吸音与收音模块</x:v>
      </x:c>
      <x:c r="F74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清洁浅灰声学板，红橙/粉白少量导向色；紧凑圆形收音传感器替代束缚固定环。体现热闹内容的专业音频监测，不使用链条、犬舍、牢笼。</x:v>
      </x:c>
      <x:c r="G74" s="37" t="str">
        <x:v>现代录音棚的窄吸音板、紧凑收音器与音频监测探头，参考整洁声学结构，以红橙及粉白小色条区分大狗房。只参考结构，按本版色板绘制为二维正交侧视素材，不照搬对象的原配色、品牌或文字。</x:v>
      </x:c>
      <x:c r="H74" s="43" t="n">
        <x:f>COUNTIF('逐张提示词'!$B$8:$B$314,A74)</x:f>
        <x:v>2</x:v>
      </x:c>
      <x:c r="I74" s="37" t="str">
        <x:v>设备</x:v>
      </x:c>
      <x:c r="J74" s="37" t="str">
        <x:v>常态静态素材</x:v>
      </x:c>
      <x:c r="K74" s="37" t="str">
        <x:v>acoustic_panel=256×1024 px；audio_sensor=512×512 px。</x:v>
      </x:c>
      <x:c r="L74" s="37" t="str">
        <x:v>RGBA透明PNG，sRGB，8bit；一unit一文件；文件名=name+'_'+suffix+'.png'。</x:v>
      </x:c>
      <x:c r="M74" s="37" t="str">
        <x:v>吸音板左上；收音传感器安装中心。</x:v>
      </x:c>
      <x:c r="N74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74" s="37" t="str">
        <x:v>常态装配显示；本轮仅需求文档，尚未生成或接入。不得自行新增交互、产能、伤害、通行或研究规则。</x:v>
      </x:c>
      <x:c r="P74" s="37" t="str">
        <x:v>ENV_024 acoustic_panel保留、anchor_ring→audio_sensor；复用背景吸音板与小环点位。N03工作(520,1360)、样本(780,1360)及范围预警不动。直播内容母题由独立污染层呈现。</x:v>
      </x:c>
      <x:c r="Q74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74" s="37" t="str">
        <x:v>待生成／待接入</x:v>
      </x:c>
      <x:c r="S74" s="37" t="str">
        <x:v>ENV_024</x:v>
      </x:c>
    </x:row>
    <x:row r="75" ht="100.5" customHeight="1">
      <x:c r="A75" s="38" t="str">
        <x:v>ENV_V2_025</x:v>
      </x:c>
      <x:c r="B75" s="38" t="str">
        <x:v>P0常态</x:v>
      </x:c>
      <x:c r="C75" s="38" t="str">
        <x:v>N04音频异常隔离间</x:v>
      </x:c>
      <x:c r="D75" s="38" t="str">
        <x:v>nm_v2_env_n04_notification_station</x:v>
      </x:c>
      <x:c r="E75" s="38" t="str">
        <x:v>叮咚鸡室音频与通知终端</x:v>
      </x:c>
      <x:c r="F75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窄高监听音箱、方圆角通知屏、独立中性提示光段；明黄/橙黄点缀，红色只留小提示位。旧钟表不再作为主设备；波形、循环标签和实际通知由运行时或污染层提供。</x:v>
      </x:c>
      <x:c r="G75" s="38" t="str">
        <x:v>现代广播监听室的窄高音箱、方圆角通知终端与独立提示灯条，参考播报设备轮廓，以黄橙点缀区分叮咚鸡房。只参考结构，按本版色板绘制为二维正交侧视素材，不照搬对象的原配色、品牌或文字。</x:v>
      </x:c>
      <x:c r="H75" s="44" t="n">
        <x:f>COUNTIF('逐张提示词'!$B$8:$B$314,A75)</x:f>
        <x:v>3</x:v>
      </x:c>
      <x:c r="I75" s="38" t="str">
        <x:v>设备</x:v>
      </x:c>
      <x:c r="J75" s="38" t="str">
        <x:v>常态静态素材</x:v>
      </x:c>
      <x:c r="K75" s="38" t="str">
        <x:v>speaker=512×1024 px；notification_frame/status_strip各512×512 px。</x:v>
      </x:c>
      <x:c r="L75" s="38" t="str">
        <x:v>RGBA透明PNG，sRGB，8bit；一unit一文件；文件名=name+'_'+suffix+'.png'。</x:v>
      </x:c>
      <x:c r="M75" s="38" t="str">
        <x:v>音箱底边中心；通知屏与指示层同画布中心。</x:v>
      </x:c>
      <x:c r="N75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75" s="38" t="str">
        <x:v>常态装配显示；本轮仅需求文档，尚未生成或接入。不得自行新增交互、产能、伤害、通行或研究规则。</x:v>
      </x:c>
      <x:c r="P75" s="38" t="str">
        <x:v>ENV_025 speaker保留、clock_dial→notification_frame、clock_hands→status_strip；复用两侧音箱和上部原挂钟中心，需修改显示层旧针的偏移/拉伸方式。保持工作(2790,1600)、实体(2970,1600)、门(2550,1600)，不新增定时广播机制。</x:v>
      </x:c>
      <x:c r="Q75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75" s="38" t="str">
        <x:v>待生成／待接入</x:v>
      </x:c>
      <x:c r="S75" s="38" t="str">
        <x:v>ENV_025</x:v>
      </x:c>
    </x:row>
    <x:row r="76" ht="100.5" customHeight="1">
      <x:c r="A76" s="37" t="str">
        <x:v>ENV_V2_026</x:v>
      </x:c>
      <x:c r="B76" s="37" t="str">
        <x:v>P0常态</x:v>
      </x:c>
      <x:c r="C76" s="37" t="str">
        <x:v>N05幼态噪声安抚舱</x:v>
      </x:c>
      <x:c r="D76" s="37" t="str">
        <x:v>nm_v2_env_n05_soothing_station</x:v>
      </x:c>
      <x:c r="E76" s="37" t="str">
        <x:v>咕咕嘎嘎室安抚与情绪监测模块</x:v>
      </x:c>
      <x:c r="F76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蓝、粉白、奶白的软角现代安抚设备，薄玻璃面板与柔和灯安装槽；独立情绪感应贴片。柔软可照护但仍是研究空间，不做婴儿品牌广告或冷库。不要预画情绪数值。</x:v>
      </x:c>
      <x:c r="G76" s="37" t="str">
        <x:v>现代儿童听觉研究与安抚空间的圆角白蓝设备、柔光安装槽和情绪感应贴片，参考照护感与洁净外壳，不参考冷库或婴儿广告。只参考结构，按本版色板绘制为二维正交侧视素材，不照搬对象的原配色、品牌或文字。</x:v>
      </x:c>
      <x:c r="H76" s="43" t="n">
        <x:f>COUNTIF('逐张提示词'!$B$8:$B$314,A76)</x:f>
        <x:v>2</x:v>
      </x:c>
      <x:c r="I76" s="37" t="str">
        <x:v>设备</x:v>
      </x:c>
      <x:c r="J76" s="37" t="str">
        <x:v>常态静态素材</x:v>
      </x:c>
      <x:c r="K76" s="37" t="str">
        <x:v>soothing_unit=1024×768 px；emotion_sensor=512×512 px。</x:v>
      </x:c>
      <x:c r="L76" s="37" t="str">
        <x:v>RGBA透明PNG，sRGB，8bit；一unit一文件；文件名=name+'_'+suffix+'.png'。</x:v>
      </x:c>
      <x:c r="M76" s="37" t="str">
        <x:v>设备底边中心；监测贴片中心。</x:v>
      </x:c>
      <x:c r="N76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76" s="37" t="str">
        <x:v>常态装配显示；本轮仅需求文档，尚未生成或接入。不得自行新增交互、产能、伤害、通行或研究规则。</x:v>
      </x:c>
      <x:c r="P76" s="37" t="str">
        <x:v>ENV_026 vent_box→soothing_unit、frost_decal→emotion_sensor，N05原设备/霜花点位重定义，移除冰霜语义。旧vent_box还在operations右侧复用：该处应改ENV_V2_030维护柜，不把安抚设备装进调度厅。N05工作(1580,2240)、样本(1790,2240)及现闲置计时不变，不新增安抚值系统。</x:v>
      </x:c>
      <x:c r="Q76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76" s="37" t="str">
        <x:v>待生成／待接入</x:v>
      </x:c>
      <x:c r="S76" s="37" t="str">
        <x:v>ENV_026</x:v>
      </x:c>
    </x:row>
    <x:row r="77" ht="100.5" customHeight="1">
      <x:c r="A77" s="38" t="str">
        <x:v>ENV_V2_027</x:v>
      </x:c>
      <x:c r="B77" s="38" t="str">
        <x:v>P0常态</x:v>
      </x:c>
      <x:c r="C77" s="38" t="str">
        <x:v>设施远景</x:v>
      </x:c>
      <x:c r="D77" s="38" t="str">
        <x:v>nm_v2_env_infrastructure_void</x:v>
      </x:c>
      <x:c r="E77" s="38" t="str">
        <x:v>深蓝灰设施纵深底纹</x:v>
      </x:c>
      <x:c r="F77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单张低频深蓝灰空腔底纹，只表达现代大型设施的纵深；色值围绕#12161C/#1E2630。房内保持更明亮，不能整体黑到压抑，也不能把远景画成另一个可走场景。</x:v>
      </x:c>
      <x:c r="G77" s="38" t="str">
        <x:v>现代大型研究机构设备层之间的深蓝灰结构空腔、低对比建筑纵深，参考明暗层次，不画任何完整房间或可走楼层。只参考结构，按本版色板绘制为二维正交侧视素材，不照搬对象的原配色、品牌或文字。</x:v>
      </x:c>
      <x:c r="H77" s="44" t="n">
        <x:f>COUNTIF('逐张提示词'!$B$8:$B$314,A77)</x:f>
        <x:v>1</x:v>
      </x:c>
      <x:c r="I77" s="38" t="str">
        <x:v>背景</x:v>
      </x:c>
      <x:c r="J77" s="38" t="str">
        <x:v>常态静态素材</x:v>
      </x:c>
      <x:c r="K77" s="38" t="str">
        <x:v>2048×2048 px。</x:v>
      </x:c>
      <x:c r="L77" s="38" t="str">
        <x:v>sRGB PNG可平铺背景，四边连续；无角色/门窗/通道；单unit单文件。</x:v>
      </x:c>
      <x:c r="M77" s="38" t="str">
        <x:v>左上(0,0)。</x:v>
      </x:c>
      <x:c r="N77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77" s="38" t="str">
        <x:v>常态装配显示；本轮仅需求文档，尚未生成或接入。不得自行新增交互、产能、伤害、通行或研究规则。</x:v>
      </x:c>
      <x:c r="P77" s="38" t="str">
        <x:v>ENV_027 void_tile替换，现3600×2500背景区复用；不烘焙五房/大厅/路径。平铺纹理不能直接当3600×2500完整关卡截图。</x:v>
      </x:c>
      <x:c r="Q77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77" s="38" t="str">
        <x:v>待生成／待接入</x:v>
      </x:c>
      <x:c r="S77" s="38" t="str">
        <x:v>ENV_027</x:v>
      </x:c>
    </x:row>
    <x:row r="78" ht="100.5" customHeight="1">
      <x:c r="A78" s="37" t="str">
        <x:v>ENV_V2_028</x:v>
      </x:c>
      <x:c r="B78" s="37" t="str">
        <x:v>P0常态</x:v>
      </x:c>
      <x:c r="C78" s="37" t="str">
        <x:v>设施远景</x:v>
      </x:c>
      <x:c r="D78" s="37" t="str">
        <x:v>nm_v2_env_distant_framework</x:v>
      </x:c>
      <x:c r="E78" s="37" t="str">
        <x:v>远景洁净承重结构</x:v>
      </x:c>
      <x:c r="F78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低对比深蓝灰现代框架，干净梁柱和稀疏连接板；不得出现锈蚀吊链、矿井木架。比实际地板更暗且无可走标线，不让玩家误认捷径。</x:v>
      </x:c>
      <x:c r="G78" s="37" t="str">
        <x:v>现代科研建筑远景钢结构竖柱联梁、低对比交叉支撑架，参考干净承重关系，不参考矿井木架或锈蚀厂房。只参考结构，按本版色板绘制为二维正交侧视素材，不照搬对象的原配色、品牌或文字。</x:v>
      </x:c>
      <x:c r="H78" s="43" t="n">
        <x:f>COUNTIF('逐张提示词'!$B$8:$B$314,A78)</x:f>
        <x:v>2</x:v>
      </x:c>
      <x:c r="I78" s="37" t="str">
        <x:v>模块</x:v>
      </x:c>
      <x:c r="J78" s="37" t="str">
        <x:v>常态静态素材</x:v>
      </x:c>
      <x:c r="K78" s="37" t="str">
        <x:v>column_crossbeam=512×2048 px；diagonal_brace=1024×1024 px。</x:v>
      </x:c>
      <x:c r="L78" s="37" t="str">
        <x:v>RGBA透明PNG，sRGB，8bit；一unit一文件；文件名=name+'_'+suffix+'.png'。</x:v>
      </x:c>
      <x:c r="M78" s="37" t="str">
        <x:v>竖柱中轴下端；斜撑左下连接点。</x:v>
      </x:c>
      <x:c r="N78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78" s="37" t="str">
        <x:v>常态装配显示；本轮仅需求文档，尚未生成或接入。不得自行新增交互、产能、伤害、通行或研究规则。</x:v>
      </x:c>
      <x:c r="P78" s="37" t="str">
        <x:v>ENV_028两件原位替换，保留远景透明度层级和房下支撑位置；不是新增楼层或建筑系统。</x:v>
      </x:c>
      <x:c r="Q78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78" s="37" t="str">
        <x:v>待生成／待接入</x:v>
      </x:c>
      <x:c r="S78" s="37" t="str">
        <x:v>ENV_028</x:v>
      </x:c>
    </x:row>
    <x:row r="79" ht="114.75" customHeight="1">
      <x:c r="A79" s="38" t="str">
        <x:v>ENV_V2_029</x:v>
      </x:c>
      <x:c r="B79" s="38" t="str">
        <x:v>P0常态</x:v>
      </x:c>
      <x:c r="C79" s="38" t="str">
        <x:v>门窗通行</x:v>
      </x:c>
      <x:c r="D79" s="38" t="str">
        <x:v>nm_v2_env_access_reader</x:v>
      </x:c>
      <x:c r="E79" s="38" t="str">
        <x:v>独立门禁读卡器与状态灯座</x:v>
      </x:c>
      <x:c r="F79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门禁读卡器和独立三槽窄状态灯座；冷白/蓝灰，留空状态区供运行时着色。读卡器不显示扫描卡片动画、二维码或凭证。状态灯资产是中性载体，不提前画成通行或失效两套相互矛盾画面。</x:v>
      </x:c>
      <x:c r="G79" s="38" t="str">
        <x:v>现代实验室门禁读卡器、窄型状态灯条及墙挂安装背板，参考清楚的独立小设备轮廓，不画凭证或品牌界面。只参考结构，按本版色板绘制为二维正交侧视素材，不照搬对象的原配色、品牌或文字。</x:v>
      </x:c>
      <x:c r="H79" s="44" t="n">
        <x:f>COUNTIF('逐张提示词'!$B$8:$B$314,A79)</x:f>
        <x:v>2</x:v>
      </x:c>
      <x:c r="I79" s="38" t="str">
        <x:v>设备</x:v>
      </x:c>
      <x:c r="J79" s="38" t="str">
        <x:v>常态静态素材</x:v>
      </x:c>
      <x:c r="K79" s="38" t="str">
        <x:v>reader=512×768 px；indicator=512×256 px。</x:v>
      </x:c>
      <x:c r="L79" s="38" t="str">
        <x:v>RGBA透明PNG，sRGB，8bit；一unit一文件；文件名=name+'_'+suffix+'.png'。</x:v>
      </x:c>
      <x:c r="M79" s="38" t="str">
        <x:v>读卡器墙挂安装点；灯座下方安装中心。</x:v>
      </x:c>
      <x:c r="N79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79" s="38" t="str">
        <x:v>规划视觉，尚未生成/接入；常态装配，不新增交互、产能、伤害、通行或研究规则。</x:v>
      </x:c>
      <x:c r="P79" s="38" t="str">
        <x:v>新增规划视觉，装在现有N01~N05及SAFE门框邻近墙面，避开原通行净空；原地图无独立读卡器交互，不增加权限/刷卡/上锁规则。状态值若后续接入只能复用现门状态或房间状态。</x:v>
      </x:c>
      <x:c r="Q79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79" s="38" t="str">
        <x:v>待生成／待接入</x:v>
      </x:c>
      <x:c r="S79" s="38" t="str"/>
    </x:row>
    <x:row r="80" ht="114.75" customHeight="1">
      <x:c r="A80" s="37" t="str">
        <x:v>ENV_V2_030</x:v>
      </x:c>
      <x:c r="B80" s="37" t="str">
        <x:v>P0常态</x:v>
      </x:c>
      <x:c r="C80" s="37" t="str">
        <x:v>调度与设备维护</x:v>
      </x:c>
      <x:c r="D80" s="37" t="str">
        <x:v>nm_v2_env_maintenance_station</x:v>
      </x:c>
      <x:c r="E80" s="37" t="str">
        <x:v>现代维护柜与工具停靠板</x:v>
      </x:c>
      <x:c r="F80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洁净蓝灰工程维护柜、工具化的标准停靠板，清楚封闭抽屉、检修把手与两三件整齐固定的小工具；避免旧军工箱、油渍和夸张电弧。工具板是一个静态设备单元，不要求拆每把工具，不能暗示可拾取武器。</x:v>
      </x:c>
      <x:c r="G80" s="37" t="str">
        <x:v>现代工程维护间的整洁工具柜、墙面工具停靠板和标准检修把手，参考封闭收纳与固定小工具，不参考军械柜或油污车间。只参考结构，按本版色板绘制为二维正交侧视素材，不照搬对象的原配色、品牌或文字。</x:v>
      </x:c>
      <x:c r="H80" s="43" t="n">
        <x:f>COUNTIF('逐张提示词'!$B$8:$B$314,A80)</x:f>
        <x:v>2</x:v>
      </x:c>
      <x:c r="I80" s="37" t="str">
        <x:v>设备</x:v>
      </x:c>
      <x:c r="J80" s="37" t="str">
        <x:v>常态静态素材</x:v>
      </x:c>
      <x:c r="K80" s="37" t="str">
        <x:v>cabinet=768×1024 px；tool_dock=768×1024 px。</x:v>
      </x:c>
      <x:c r="L80" s="37" t="str">
        <x:v>RGBA透明PNG，sRGB，8bit；一unit一文件；文件名=name+'_'+suffix+'.png'。</x:v>
      </x:c>
      <x:c r="M80" s="37" t="str">
        <x:v>柜体底边中心；工具板上边墙挂安装点。</x:v>
      </x:c>
      <x:c r="N80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80" s="37" t="str">
        <x:v>规划视觉，尚未生成/接入；常态装配，不新增交互、产能、伤害、通行或研究规则。</x:v>
      </x:c>
      <x:c r="P80" s="37" t="str">
        <x:v>新增组：cabinet替换operations现复用旧N05 vent_box的设备位；tool_dock为相邻背墙规划装饰，后续需视觉适配确认净空。归现调度大厅，不新建设备维护房间，不新增维修资源/任务。</x:v>
      </x:c>
      <x:c r="Q80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80" s="37" t="str">
        <x:v>待生成／待接入</x:v>
      </x:c>
      <x:c r="S80" s="37" t="str"/>
    </x:row>
    <x:row r="81" ht="100.5" customHeight="1">
      <x:c r="A81" s="38" t="str">
        <x:v>ENV_V2_031</x:v>
      </x:c>
      <x:c r="B81" s="38" t="str">
        <x:v>P0常态</x:v>
      </x:c>
      <x:c r="C81" s="38" t="str">
        <x:v>医疗安全区</x:v>
      </x:c>
      <x:c r="D81" s="38" t="str">
        <x:v>nm_v2_env_supply_dispenser</x:v>
      </x:c>
      <x:c r="E81" s="38" t="str">
        <x:v>安全区补给饮水单元</x:v>
      </x:c>
      <x:c r="F81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窄高冷白浅蓝密闭补给饮水机，舒适休息区气质，出水/取物凹口清楚但无品牌、价格、购买按钮或能量图标。低亮度工作灯，轻金属外壳。</x:v>
      </x:c>
      <x:c r="G81" s="38" t="str">
        <x:v>现代医院休息区的白蓝补给饮水机、窄高取物凹口和轻金属底座，参考安全舒适的公共服务设备。只参考结构，按本版色板绘制为二维正交侧视素材，不照搬对象的原配色、品牌或文字。</x:v>
      </x:c>
      <x:c r="H81" s="44" t="n">
        <x:f>COUNTIF('逐张提示词'!$B$8:$B$314,A81)</x:f>
        <x:v>1</x:v>
      </x:c>
      <x:c r="I81" s="38" t="str">
        <x:v>设备</x:v>
      </x:c>
      <x:c r="J81" s="38" t="str">
        <x:v>常态静态素材</x:v>
      </x:c>
      <x:c r="K81" s="38" t="str">
        <x:v>512×1024 px。</x:v>
      </x:c>
      <x:c r="L81" s="38" t="str">
        <x:v>RGBA透明PNG，sRGB，8bit；一unit一文件；文件名=name+'_'+suffix+'.png'。</x:v>
      </x:c>
      <x:c r="M81" s="38" t="str">
        <x:v>底边中心。</x:v>
      </x:c>
      <x:c r="N81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81" s="38" t="str">
        <x:v>规划视觉，尚未生成/接入；常态装配，不新增交互、产能、伤害、通行或研究规则。</x:v>
      </x:c>
      <x:c r="P81" s="38" t="str">
        <x:v>新增规划视觉，放在现SAFE背墙净空且避开safe-door、床脚、safePoint与员工站位；并非新增补给交互或消耗品。现安全区免费恢复规则保持，接入前需核对摆放。</x:v>
      </x:c>
      <x:c r="Q81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81" s="38" t="str">
        <x:v>待生成／待接入</x:v>
      </x:c>
      <x:c r="S81" s="38" t="str"/>
    </x:row>
    <x:row r="82" ht="100.5" customHeight="1">
      <x:c r="A82" s="37" t="str">
        <x:v>ENV_V2_032</x:v>
      </x:c>
      <x:c r="B82" s="37" t="str">
        <x:v>P0常态</x:v>
      </x:c>
      <x:c r="C82" s="37" t="str">
        <x:v>N01低龄内容观察室</x:v>
      </x:c>
      <x:c r="D82" s="37" t="str">
        <x:v>nm_v2_env_n01_soft_display</x:v>
      </x:c>
      <x:c r="E82" s="37" t="str">
        <x:v>奶龙室柔软观察陈列</x:v>
      </x:c>
      <x:c r="F82" s="37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奶白暖黄小型柔软几何观察物与独立透明亚克力陈列托架；柔和可爱但不把整个房间变为儿童乐园。几何软物不画成奶龙、IP角色、表情头或能误认成新异常的活物。</x:v>
      </x:c>
      <x:c r="G82" s="37" t="str">
        <x:v>儿童内容研究室的小型柔软几何观察物、暖黄软积木和空的亚克力壁挂陈列架，参考静物软质感与透明托架，不画品牌玩具或角色。只参考结构，按本版色板绘制为二维正交侧视素材，不照搬对象的原配色、品牌或文字。</x:v>
      </x:c>
      <x:c r="H82" s="43" t="n">
        <x:f>COUNTIF('逐张提示词'!$B$8:$B$314,A82)</x:f>
        <x:v>2</x:v>
      </x:c>
      <x:c r="I82" s="37" t="str">
        <x:v>设备</x:v>
      </x:c>
      <x:c r="J82" s="37" t="str">
        <x:v>常态静态素材</x:v>
      </x:c>
      <x:c r="K82" s="37" t="str">
        <x:v>soft_object=512×512 px；display_shelf=1024×512 px。</x:v>
      </x:c>
      <x:c r="L82" s="37" t="str">
        <x:v>RGBA透明PNG，sRGB，8bit；一unit一文件；文件名=name+'_'+suffix+'.png'。</x:v>
      </x:c>
      <x:c r="M82" s="37" t="str">
        <x:v>柔软物底边中心；壁架墙面安装边中点。</x:v>
      </x:c>
      <x:c r="N82" s="37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82" s="37" t="str">
        <x:v>规划视觉，尚未生成/接入；常态装配，不新增交互、产能、伤害、通行或研究规则。</x:v>
      </x:c>
      <x:c r="P82" s="37" t="str">
        <x:v>新增规划视觉，两件组装在N01现背墙非工作/样本站位范围内，避开编号区、门及观察窗主视区。现地图无新陈列交互，不变更奶龙工作条件。</x:v>
      </x:c>
      <x:c r="Q82" s="37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</x:v>
      </x:c>
      <x:c r="R82" s="37" t="str">
        <x:v>待生成／待接入</x:v>
      </x:c>
      <x:c r="S82" s="37" t="str"/>
    </x:row>
    <x:row r="83" ht="86.25" customHeight="1">
      <x:c r="A83" s="38" t="str">
        <x:v>NM_V2_UI_001</x:v>
      </x:c>
      <x:c r="B83" s="38" t="str">
        <x:v>P0常态</x:v>
      </x:c>
      <x:c r="C83" s="38" t="str">
        <x:v>现代常态UI/主框架</x:v>
      </x:c>
      <x:c r="D83" s="38" t="str">
        <x:v>nm_v2_ui_console_panel</x:v>
      </x:c>
      <x:c r="E83" s="38" t="str">
        <x:v>中控台通用无字框</x:v>
      </x:c>
      <x:c r="F83" s="38" t="str">
        <x:v>常态统一深灰黑#12161C、蓝灰#1E2630、金属灰#39424E、冷白#D9E1EA、冷青蓝#57B8FF；扁平、清洁、克制、现代研究机构。一张可复用的简洁矩形底框，窄金属灰边与冷青极细分区线，中心至少85%安静留白；可半透明叠于背景，禁止烘焙横竖信息栏。顶栏、右栏、技能栏与日志外框共享此母版。</x:v>
      </x:c>
      <x:c r="G83" s="38" t="str">
        <x:v>现代内容管理后台与科研中控台的通用空白面板；参考细线分区、冷灰底与足量留白，不复制任何品牌界面。</x:v>
      </x:c>
      <x:c r="H83" s="44" t="n">
        <x:f>COUNTIF('逐张提示词'!$B$8:$B$314,A83)</x:f>
        <x:v>1</x:v>
      </x:c>
      <x:c r="I83" s="38" t="str">
        <x:v>面板</x:v>
      </x:c>
      <x:c r="J83" s="38" t="str">
        <x:v>常驻；含失效期间的基础控制台</x:v>
      </x:c>
      <x:c r="K83" s="38" t="str">
        <x:v>1024×1024 px；后处理九宫格，建议角区48 px待调</x:v>
      </x:c>
      <x:c r="L83" s="38" t="str">
        <x:v>一单元一张透明PNG（RGBA）；图形完整，四周保留透明安全边；先单张关键图，后处理统一边距与尺寸，不要求模型直接导出SVG、PSD分层、动画或sprite sheet。</x:v>
      </x:c>
      <x:c r="M83" s="38" t="str">
        <x:v>容器左上(0,0)</x:v>
      </x:c>
      <x:c r="N83" s="38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83" s="38" t="str">
        <x:v>基础HUD创建时常驻；风格由资源版本选择，不随失效替换底层UI。</x:v>
      </x:c>
      <x:c r="P83" s="38" t="str">
        <x:v>替换ui_panel_terminal_blank纹理与旧纸墨边装饰；保留布局、data-action和按钮命中区域。</x:v>
      </x:c>
      <x:c r="Q83" s="38" t="str">
        <x:v>拉伸到顶栏与窄右栏时四角不变形；1600×900和1280×720文字仍清楚、设施视区不因新框缩小；无任何烘焙读数。</x:v>
      </x:c>
      <x:c r="R83" s="38" t="str">
        <x:v>待生成／待接入</x:v>
      </x:c>
      <x:c r="S83" s="38" t="str">
        <x:v>UI_001</x:v>
      </x:c>
    </x:row>
    <x:row r="84" ht="86.25" customHeight="1">
      <x:c r="A84" s="37" t="str">
        <x:v>NM_V2_UI_002</x:v>
      </x:c>
      <x:c r="B84" s="37" t="str">
        <x:v>P0常态</x:v>
      </x:c>
      <x:c r="C84" s="37" t="str">
        <x:v>现代常态UI/数字档案</x:v>
      </x:c>
      <x:c r="D84" s="37" t="str">
        <x:v>nm_v2_ui_digital_record_panel</x:v>
      </x:c>
      <x:c r="E84" s="37" t="str">
        <x:v>数字档案与弹窗通用底板</x:v>
      </x:c>
      <x:c r="F84" s="37" t="str">
        <x:v>常态统一深灰黑#12161C、蓝灰#1E2630、金属灰#39424E、冷白#D9E1EA、冷青蓝#57B8FF；扁平、清洁、克制、现代研究机构。数字资料终端空白底板；大面积均匀蓝灰/冷白内容底，窄页签承载带、清晰边缘、轻微玻璃分层感。无纸张、封条、手写批注和印章；所有标题、页签、关闭按钮与正文由程序排版，五物共享一个模板。</x:v>
      </x:c>
      <x:c r="G84" s="37" t="str">
        <x:v>现代数字档案终端与资料阅读器；参考清洁电子页签、均匀正文底和窄边框，排除纸质卷宗、手写批注与印章。</x:v>
      </x:c>
      <x:c r="H84" s="43" t="n">
        <x:f>COUNTIF('逐张提示词'!$B$8:$B$314,A84)</x:f>
        <x:v>1</x:v>
      </x:c>
      <x:c r="I84" s="37" t="str">
        <x:v>面板</x:v>
      </x:c>
      <x:c r="J84" s="37" t="str">
        <x:v>档案/装备/帮助/结算等模态面板</x:v>
      </x:c>
      <x:c r="K84" s="37" t="str">
        <x:v>1024×1024 px；后处理九宫格，建议角区40 px待调</x:v>
      </x:c>
      <x:c r="L84" s="37" t="str">
        <x:v>一单元一张透明PNG（RGBA）；图形完整，四周保留透明安全边；先单张关键图，后处理统一边距与尺寸，不要求模型直接导出SVG、PSD分层、动画或sprite sheet。</x:v>
      </x:c>
      <x:c r="M84" s="37" t="str">
        <x:v>容器左上(0,0)</x:v>
      </x:c>
      <x:c r="N84" s="37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84" s="37" t="str">
        <x:v>仅现有真实模态面板打开时显示。</x:v>
      </x:c>
      <x:c r="P84" s="37" t="str">
        <x:v>替换ui_panel_archive_blank与旧档案纸页观感；不把附件的数字档案概念变成新功能。</x:v>
      </x:c>
      <x:c r="Q84" s="37" t="str">
        <x:v>900 px宽档案及较窄确认弹窗都能复用；正文/购买/关闭区域明确；不生成五套重复档案整图。</x:v>
      </x:c>
      <x:c r="R84" s="37" t="str">
        <x:v>待生成／待接入</x:v>
      </x:c>
      <x:c r="S84" s="37" t="str">
        <x:v>UI_002</x:v>
      </x:c>
    </x:row>
    <x:row r="85" ht="86.25" customHeight="1">
      <x:c r="A85" s="38" t="str">
        <x:v>NM_V2_UI_003</x:v>
      </x:c>
      <x:c r="B85" s="38" t="str">
        <x:v>P0常态</x:v>
      </x:c>
      <x:c r="C85" s="38" t="str">
        <x:v>现代常态UI/员工行</x:v>
      </x:c>
      <x:c r="D85" s="38" t="str">
        <x:v>nm_v2_ui_personnel_row</x:v>
      </x:c>
      <x:c r="E85" s="38" t="str">
        <x:v>人员名册通用无字行底</x:v>
      </x:c>
      <x:c r="F85" s="38" t="str">
        <x:v>常态统一深灰黑#12161C、蓝灰#1E2630、金属灰#39424E、冷白#D9E1EA、冷青蓝#57B8FF；扁平、清洁、克制、现代研究机构。一张轻量名单行底板：冷灰平底、细边、左侧窄身份标记槽但无固定色块或头像。名字、状态图标、HP/SP条、选中描边都在上层程序布局；六人复用，不按员工生成六张。</x:v>
      </x:c>
      <x:c r="G85" s="38" t="str">
        <x:v>现代科研机构人员名册的紧凑列表行；参考可读姓名区、属性区与轻量分隔，示意内容全部留空。</x:v>
      </x:c>
      <x:c r="H85" s="44" t="n">
        <x:f>COUNTIF('逐张提示词'!$B$8:$B$314,A85)</x:f>
        <x:v>1</x:v>
      </x:c>
      <x:c r="I85" s="38" t="str">
        <x:v>面板</x:v>
      </x:c>
      <x:c r="J85" s="38" t="str">
        <x:v>员工名册所有状态</x:v>
      </x:c>
      <x:c r="K85" s="38" t="str">
        <x:v>1024×256 px；后处理九宫格，建议左右角区40 px待调</x:v>
      </x:c>
      <x:c r="L85" s="38" t="str">
        <x:v>一单元一张透明PNG（RGBA）；图形完整，四周保留透明安全边；先单张关键图，后处理统一边距与尺寸，不要求模型直接导出SVG、PSD分层、动画或sprite sheet。</x:v>
      </x:c>
      <x:c r="M85" s="38" t="str">
        <x:v>容器左上(0,0)</x:v>
      </x:c>
      <x:c r="N85" s="38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85" s="38" t="str">
        <x:v>现有employee数组名单行显示时。</x:v>
      </x:c>
      <x:c r="P85" s="38" t="str">
        <x:v>替换ui_panel_personnel_blank；保留data-employee、固定DOM与名册排序。</x:v>
      </x:c>
      <x:c r="Q85" s="38" t="str">
        <x:v>缩到现有约204×37 px时无厚边挤占HP/SP；选中、恐慌、重伤由程序样式清楚区分。</x:v>
      </x:c>
      <x:c r="R85" s="38" t="str">
        <x:v>待生成／待接入</x:v>
      </x:c>
      <x:c r="S85" s="38" t="str">
        <x:v>UI_003</x:v>
      </x:c>
    </x:row>
    <x:row r="86" ht="86.25" customHeight="1">
      <x:c r="A86" s="37" t="str">
        <x:v>NM_V2_UI_004</x:v>
      </x:c>
      <x:c r="B86" s="37" t="str">
        <x:v>P0常态</x:v>
      </x:c>
      <x:c r="C86" s="37" t="str">
        <x:v>现代常态UI/警报底框</x:v>
      </x:c>
      <x:c r="D86" s="37" t="str">
        <x:v>nm_v2_ui_alert_strip</x:v>
      </x:c>
      <x:c r="E86" s="37" t="str">
        <x:v>系统状态与警报通用无字条</x:v>
      </x:c>
      <x:c r="F86" s="37" t="str">
        <x:v>常态统一深灰黑#12161C、蓝灰#1E2630、金属灰#39424E、冷白#D9E1EA、冷青蓝#57B8FF；扁平、清洁、克制、现代研究机构。窄而清晰的状态条底框，留独立图标位和两行文案空区；主体保持冷灰，允许程序按真实tone添加红/紫/青色细边。不要把警报画成永久破屏或红灯闪烁。危急程度依靠程序文字、形状与颜色共同表达。</x:v>
      </x:c>
      <x:c r="G86" s="37" t="str">
        <x:v>现代系统后台的克制状态提示条；参考图标+两行信息的留白结构，危险色只作边缘语义提示。</x:v>
      </x:c>
      <x:c r="H86" s="43" t="n">
        <x:f>COUNTIF('逐张提示词'!$B$8:$B$314,A86)</x:f>
        <x:v>1</x:v>
      </x:c>
      <x:c r="I86" s="37" t="str">
        <x:v>面板</x:v>
      </x:c>
      <x:c r="J86" s="37" t="str">
        <x:v>stable/breach/panic/injury/pressure</x:v>
      </x:c>
      <x:c r="K86" s="37" t="str">
        <x:v>1024×256 px；建议可伸缩边带24 px待调</x:v>
      </x:c>
      <x:c r="L86" s="37" t="str">
        <x:v>一单元一张透明PNG（RGBA）；图形完整，四周保留透明安全边；先单张关键图，后处理统一边距与尺寸，不要求模型直接导出SVG、PSD分层、动画或sprite sheet。</x:v>
      </x:c>
      <x:c r="M86" s="37" t="str">
        <x:v>左上(0,0)</x:v>
      </x:c>
      <x:c r="N86" s="37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86" s="37" t="str">
        <x:v>沿用renderAlert真实优先级：失效房间→恐慌员工→重伤员工→高压房间→稳定。</x:v>
      </x:c>
      <x:c r="P86" s="37" t="str">
        <x:v>替换ui_alert_frame_blank；同一PNG复用于各tone，保留无障碍role=status及真实摘要。</x:v>
      </x:c>
      <x:c r="Q86" s="37" t="str">
        <x:v>所有tone不遮挡员工列表；无警报时不呈现红色危险假象；状态改变无需换整套面板。</x:v>
      </x:c>
      <x:c r="R86" s="37" t="str">
        <x:v>待生成／待接入</x:v>
      </x:c>
      <x:c r="S86" s="37" t="str">
        <x:v>UI_004</x:v>
      </x:c>
    </x:row>
    <x:row r="87" ht="86.25" customHeight="1">
      <x:c r="A87" s="38" t="str">
        <x:v>NM_V2_UI_005</x:v>
      </x:c>
      <x:c r="B87" s="38" t="str">
        <x:v>P0常态</x:v>
      </x:c>
      <x:c r="C87" s="38" t="str">
        <x:v>现代常态UI/资源属性图标</x:v>
      </x:c>
      <x:c r="D87" s="38" t="str">
        <x:v>nm_v2_ui_metric_icon</x:v>
      </x:c>
      <x:c r="E87" s="38" t="str">
        <x:v>能量、体力与精神静态图标</x:v>
      </x:c>
      <x:c r="F87" s="38" t="str">
        <x:v>常态统一深灰黑#12161C、蓝灰#1E2630、金属灰#39424E、冷白#D9E1EA、冷青蓝#57B8FF；扁平、清洁、克制、现代研究机构。三个独立平面语义图标，统一线宽和视觉重量；只标识属性，不包含仪表、刻度、条形槽、数值或填充比例。能量为现代紧凑电芯；HP为简洁非写实心形；SP为头部轮廓与稳定思维弧。</x:v>
      </x:c>
      <x:c r="G87" s="38" t="str">
        <x:v>同一现代扁平图标系统的电芯、心形体力、头部思维三种语义；冷白与青蓝主调，缩小后轮廓清楚。</x:v>
      </x:c>
      <x:c r="H87" s="44" t="n">
        <x:f>COUNTIF('逐张提示词'!$B$8:$B$314,A87)</x:f>
        <x:v>3</x:v>
      </x:c>
      <x:c r="I87" s="38" t="str">
        <x:v>图标</x:v>
      </x:c>
      <x:c r="J87" s="38" t="str">
        <x:v>wallet/HP/SP属性识别</x:v>
      </x:c>
      <x:c r="K87" s="38" t="str">
        <x:v>每张512×512 px；主体约360 px，建议透明边至少64 px待调</x:v>
      </x:c>
      <x:c r="L87" s="38" t="str">
        <x:v>一单元一张透明PNG（RGBA）；图形完整，四周保留透明安全边；先单张关键图，后处理统一边距与尺寸，不要求模型直接导出SVG、PSD分层、动画或sprite sheet。</x:v>
      </x:c>
      <x:c r="M87" s="38" t="str">
        <x:v>图形中心(0.5,0.5)</x:v>
      </x:c>
      <x:c r="N87" s="38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87" s="38" t="str">
        <x:v>图标随既有能量、HP/SP标签常驻，不代表数值变化本身。</x:v>
      </x:c>
      <x:c r="P87" s="38" t="str">
        <x:v>逐项替换ui_resource_energy_cell/ui_meter_health_symbol/ui_meter_sanity_symbol；所有数据与单位保持程序生成。</x:v>
      </x:c>
      <x:c r="Q87" s="38" t="str">
        <x:v>24 px资源图标及9–14 px属性标识仍有轮廓差异；灰度下HP与SP不可混淆；没有第二种货币暗示。</x:v>
      </x:c>
      <x:c r="R87" s="38" t="str">
        <x:v>待生成／待接入</x:v>
      </x:c>
      <x:c r="S87" s="38" t="str">
        <x:v>UI_010；UI_011；UI_012</x:v>
      </x:c>
    </x:row>
    <x:row r="88" ht="86.25" customHeight="1">
      <x:c r="A88" s="37" t="str">
        <x:v>NM_V2_UI_006</x:v>
      </x:c>
      <x:c r="B88" s="37" t="str">
        <x:v>P0常态</x:v>
      </x:c>
      <x:c r="C88" s="37" t="str">
        <x:v>现代常态UI/员工状态图标</x:v>
      </x:c>
      <x:c r="D88" s="37" t="str">
        <x:v>nm_v2_ui_personnel_state</x:v>
      </x:c>
      <x:c r="E88" s="37" t="str">
        <x:v>七类员工状态独立图标</x:v>
      </x:c>
      <x:c r="F88" s="37" t="str">
        <x:v>常态统一深灰黑#12161C、蓝灰#1E2630、金属灰#39424E、冷白#D9E1EA、冷青蓝#57B8FF；扁平、清洁、克制、现代研究机构。七图同系统：线条清楚、少细节、以形状先区分，冷白主体配少量功能色；研究人员工作场景，不用军衔徽章或古旧纸牌。MOVING且order=IDLE的空闲散步复用walk；恢复状态沿用现有真实文案与HP/SP，不增新枚举图标。</x:v>
      </x:c>
      <x:c r="G88" s="37" t="str">
        <x:v>现代科研调度终端的七种员工状态图形；以待命人员、迈步、返回安全门、平板工作、处置工具、思维失衡、失能支援为视觉对象。</x:v>
      </x:c>
      <x:c r="H88" s="43" t="n">
        <x:f>COUNTIF('逐张提示词'!$B$8:$B$314,A88)</x:f>
        <x:v>7</x:v>
      </x:c>
      <x:c r="I88" s="37" t="str">
        <x:v>图标</x:v>
      </x:c>
      <x:c r="J88" s="37" t="str">
        <x:v>IDLE/MOVING/RETREAT/WORKING/SUPPRESSING/PANICKED/INCAPACITATED</x:v>
      </x:c>
      <x:c r="K88" s="37" t="str">
        <x:v>每张512×512 px；24 px显示验收</x:v>
      </x:c>
      <x:c r="L88" s="37" t="str">
        <x:v>一单元一张透明PNG（RGBA）；图形完整，四周保留透明安全边；先单张关键图，后处理统一边距与尺寸，不要求模型直接导出SVG、PSD分层、动画或sprite sheet。</x:v>
      </x:c>
      <x:c r="M88" s="37" t="str">
        <x:v>中心(0.5,0.5)</x:v>
      </x:c>
      <x:c r="N88" s="37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88" s="37" t="str">
        <x:v>严格映射真实EmployeeStatus；retreat只覆盖MOVING且order.kind=RETREAT，不由贴图定义员工行为。</x:v>
      </x:c>
      <x:c r="P88" s="37" t="str">
        <x:v>一对一替换旧七个状态PNG；UI_014仍拆walk与retreat两单元，其余一单元。保持普通静态图标，动画反馈留场内。</x:v>
      </x:c>
      <x:c r="Q88" s="37" t="str">
        <x:v>20–24 px可辨七状态；panic与sanity、injury与死亡须明显区分；不新增职业加成、死亡或恢复机制。</x:v>
      </x:c>
      <x:c r="R88" s="37" t="str">
        <x:v>待生成／待接入</x:v>
      </x:c>
      <x:c r="S88" s="37" t="str">
        <x:v>UI_013；UI_014；UI_015；UI_016；UI_017；UI_018</x:v>
      </x:c>
    </x:row>
    <x:row r="89" ht="86.25" customHeight="1">
      <x:c r="A89" s="38" t="str">
        <x:v>NM_V2_UI_007</x:v>
      </x:c>
      <x:c r="B89" s="38" t="str">
        <x:v>P0常态</x:v>
      </x:c>
      <x:c r="C89" s="38" t="str">
        <x:v>现代常态UI/五主管技能</x:v>
      </x:c>
      <x:c r="D89" s="38" t="str">
        <x:v>nm_v2_ui_skill_icon</x:v>
      </x:c>
      <x:c r="E89" s="38" t="str">
        <x:v>五技能原能力图标换装</x:v>
      </x:c>
      <x:c r="F89" s="38" t="str">
        <x:v>常态统一深灰黑#12161C、蓝灰#1E2630、金属灰#39424E、冷白#D9E1EA、冷青蓝#57B8FF；扁平、清洁、克制、现代研究机构。五个独立技能符号，保留S01–S05 ID、热键与现有能力。图标可按五物色彩点缀，但不含按钮框、冷却层、数字、名称或射程。使用暂停姿/爪痕/声波/通知加速/安抚思维五种不同轮廓，不能把所有技能统一做成魔法攻击。</x:v>
      </x:c>
      <x:c r="G89" s="38" t="str">
        <x:v>五物专属符号的同风格技能组：暖黄暂停姿、脏粉爪痕、红橙犬口声波、黄橙铃铛加速、浅蓝粉白思维安抚；保持五种轮廓区别。</x:v>
      </x:c>
      <x:c r="H89" s="44" t="n">
        <x:f>COUNTIF('逐张提示词'!$B$8:$B$314,A89)</x:f>
        <x:v>5</x:v>
      </x:c>
      <x:c r="I89" s="38" t="str">
        <x:v>图标</x:v>
      </x:c>
      <x:c r="J89" s="38" t="str">
        <x:v>S01/S02/S03/S04/S05；锁定/冷却/可用/瞄准由程序控制</x:v>
      </x:c>
      <x:c r="K89" s="38" t="str">
        <x:v>每张512×512 px；24–32 px显示验收</x:v>
      </x:c>
      <x:c r="L89" s="38" t="str">
        <x:v>一单元一张透明PNG（RGBA）；图形完整，四周保留透明安全边；先单张关键图，后处理统一边距与尺寸，不要求模型直接导出SVG、PSD分层、动画或sprite sheet。</x:v>
      </x:c>
      <x:c r="M89" s="38" t="str">
        <x:v>中心(0.5,0.5)</x:v>
      </x:c>
      <x:c r="N89" s="38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89" s="38" t="str">
        <x:v>图标随现有data-skill=S01…S05；真实解锁、费用、冷却和activeSkillId驱动外部样式。</x:v>
      </x:c>
      <x:c r="P89" s="38" t="str">
        <x:v>替换旧ui_skill_*五图而保留generatedIcons技能映射、config/skills.json及事件入口；没有第六技能。</x:v>
      </x:c>
      <x:c r="Q89" s="38" t="str">
        <x:v>逐项核对：S01单敌眩晕并取消前摇；S02单敌红伤；S03走廊范围红伤与击退；S04未重伤全员移速增益；S05范围精神恢复。图形不得暗示治疗HP、召唤、复活或永久强化。</x:v>
      </x:c>
      <x:c r="R89" s="38" t="str">
        <x:v>待生成／待接入</x:v>
      </x:c>
      <x:c r="S89" s="38" t="str">
        <x:v>UI_005；UI_006；UI_007；UI_008；UI_009</x:v>
      </x:c>
    </x:row>
    <x:row r="90" ht="86.25" customHeight="1">
      <x:c r="A90" s="37" t="str">
        <x:v>NM_V2_FX_001</x:v>
      </x:c>
      <x:c r="B90" s="37" t="str">
        <x:v>P0常态</x:v>
      </x:c>
      <x:c r="C90" s="37" t="str">
        <x:v>常态VFX/工作终端</x:v>
      </x:c>
      <x:c r="D90" s="37" t="str">
        <x:v>nm_v2_vfx_work_tick</x:v>
      </x:c>
      <x:c r="E90" s="37" t="str">
        <x:v>终端工作轻反馈</x:v>
      </x:c>
      <x:c r="F90" s="37" t="str">
        <x:v>常态统一深灰黑#12161C、蓝灰#1E2630、金属灰#39424E、冷白#D9E1EA、冷青蓝#57B8FF；扁平、清洁、克制、现代研究机构。一个小型冷青短扫描亮片，包含两三段规整短光线与一个轻触点；保留透明中心，不含平板本体、员工、手或房间。用于既有工作动作的小反馈；同图复用三种工作，不分别重复生成。</x:v>
      </x:c>
      <x:c r="G90" s="37" t="str">
        <x:v>现代平板终端被操作时的小型扫描亮片；仅轻触与短扫描信号，不含终端或人物本体。</x:v>
      </x:c>
      <x:c r="H90" s="43" t="n">
        <x:f>COUNTIF('逐张提示词'!$B$8:$B$314,A90)</x:f>
        <x:v>1</x:v>
      </x:c>
      <x:c r="I90" s="37" t="str">
        <x:v>VFX关键图</x:v>
      </x:c>
      <x:c r="J90" s="37" t="str">
        <x:v>RoomRuntime.work.phase=EXECUTING</x:v>
      </x:c>
      <x:c r="K90" s="37" t="str">
        <x:v>512×512 px；图形小而疏朗</x:v>
      </x:c>
      <x:c r="L90" s="37" t="str">
        <x:v>一单元一张透明PNG（RGBA）；图形完整，四周保留透明安全边；先单张关键图，后处理统一边距与尺寸，不要求模型直接导出SVG、PSD分层、动画或sprite sheet。</x:v>
      </x:c>
      <x:c r="M90" s="37" t="str">
        <x:v>工作工具/终端附近中心(0.5,0.5)</x:v>
      </x:c>
      <x:c r="N90" s="37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90" s="37" t="str">
        <x:v>仅真实到达工作位且EXECUTING；TRAVELLING不显示；频率、缩放与淡入淡出由simulationTimeSec驱动。</x:v>
      </x:c>
      <x:c r="P90" s="37" t="str">
        <x:v>替换vfx_work_motion_tick_key旧纸屑/墨线；沿用EffectsArt.work调用，不承担产能结算。</x:v>
      </x:c>
      <x:c r="Q90" s="37" t="str">
        <x:v>显示时员工手、工具与工作位仍可见；暂停同一模拟时间像素相位固定；无自主计时产能。</x:v>
      </x:c>
      <x:c r="R90" s="37" t="str">
        <x:v>待生成／待接入</x:v>
      </x:c>
      <x:c r="S90" s="37" t="str">
        <x:v>VFX_004</x:v>
      </x:c>
    </x:row>
    <x:row r="91" ht="86.25" customHeight="1">
      <x:c r="A91" s="38" t="str">
        <x:v>NM_V2_FX_002</x:v>
      </x:c>
      <x:c r="B91" s="38" t="str">
        <x:v>P0常态</x:v>
      </x:c>
      <x:c r="C91" s="38" t="str">
        <x:v>常态VFX/通用命中反馈</x:v>
      </x:c>
      <x:c r="D91" s="38" t="str">
        <x:v>nm_v2_vfx_hit_tick</x:v>
      </x:c>
      <x:c r="E91" s="38" t="str">
        <x:v>通用短促命中刻线</x:v>
      </x:c>
      <x:c r="F91" s="38" t="str">
        <x:v>常态统一深灰黑#12161C、蓝灰#1E2630、金属灰#39424E、冷白#D9E1EA、冷青蓝#57B8FF；扁平、清洁、克制、现代研究机构。一小组方向清楚的冷白/金属灰折线冲击刻痕，中心透明，最多少量短碎片，整体像界面信号被打断的瞬间；不使用墨污、鲜血、火焰或魔法光球。真实受击时只短暂出现。</x:v>
      </x:c>
      <x:c r="G91" s="38" t="str">
        <x:v>数字界面短促信号受扰的折线刻痕；小范围直接命中感，透明中心保留目标可见。</x:v>
      </x:c>
      <x:c r="H91" s="44" t="n">
        <x:f>COUNTIF('逐张提示词'!$B$8:$B$314,A91)</x:f>
        <x:v>1</x:v>
      </x:c>
      <x:c r="I91" s="38" t="str">
        <x:v>VFX关键图</x:v>
      </x:c>
      <x:c r="J91" s="38" t="str">
        <x:v>真实受击短暂反馈</x:v>
      </x:c>
      <x:c r="K91" s="38" t="str">
        <x:v>512×512 px；主体约300 px</x:v>
      </x:c>
      <x:c r="L91" s="38" t="str">
        <x:v>一单元一张透明PNG（RGBA）；图形完整，四周保留透明安全边；先单张关键图，后处理统一边距与尺寸，不要求模型直接导出SVG、PSD分层、动画或sprite sheet。</x:v>
      </x:c>
      <x:c r="M91" s="38" t="str">
        <x:v>命中中心(0.5,0.5)</x:v>
      </x:c>
      <x:c r="N91" s="38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91" s="38" t="str">
        <x:v>既有actor.hurtUntil与实际伤害对应；不得从点击/动画回调自行制造命中。</x:v>
      </x:c>
      <x:c r="P91" s="38" t="str">
        <x:v>替换vfx_hit_ink_key；保留hit(point,remaining,kind?)接口与图像池。与四伤害贴图叠加时降低冗余亮度。</x:v>
      </x:c>
      <x:c r="Q91" s="38" t="str">
        <x:v>约40–70世界像素下清楚但不盖脸；不得造成持续损伤或冒充命中范围；显示时长读取现有remaining。</x:v>
      </x:c>
      <x:c r="R91" s="38" t="str">
        <x:v>待生成／待接入</x:v>
      </x:c>
      <x:c r="S91" s="38" t="str">
        <x:v>VFX_001</x:v>
      </x:c>
    </x:row>
    <x:row r="92" ht="86.25" customHeight="1">
      <x:c r="A92" s="37" t="str">
        <x:v>NM_V2_FX_003</x:v>
      </x:c>
      <x:c r="B92" s="37" t="str">
        <x:v>P0常态</x:v>
      </x:c>
      <x:c r="C92" s="37" t="str">
        <x:v>常态VFX/人员异常反馈</x:v>
      </x:c>
      <x:c r="D92" s="37" t="str">
        <x:v>nm_v2_vfx_panic_signal</x:v>
      </x:c>
      <x:c r="E92" s="37" t="str">
        <x:v>恐慌信号错位关键图</x:v>
      </x:c>
      <x:c r="F92" s="37" t="str">
        <x:v>冷白与少量亮紫#9C6BFF的两段不闭合信号弧，轻微错位、断续，中心大面积透明；表现员工精神失稳，不画具体员工、数字或拟声字，不把头部遮成噪声云。</x:v>
      </x:c>
      <x:c r="G92" s="37" t="str">
        <x:v>头顶附近断续的思维信号弧；克制的紫白错位感，区分普通稳定状态，不含具体员工。</x:v>
      </x:c>
      <x:c r="H92" s="43" t="n">
        <x:f>COUNTIF('逐张提示词'!$B$8:$B$314,A92)</x:f>
        <x:v>1</x:v>
      </x:c>
      <x:c r="I92" s="37" t="str">
        <x:v>VFX关键图</x:v>
      </x:c>
      <x:c r="J92" s="37" t="str">
        <x:v>EmployeeStatus=PANICKED</x:v>
      </x:c>
      <x:c r="K92" s="37" t="str">
        <x:v>1024×512 px；横向疏朗</x:v>
      </x:c>
      <x:c r="L92" s="37" t="str">
        <x:v>一单元一张透明PNG（RGBA）；图形完整，四周保留透明安全边；先单张关键图，后处理统一边距与尺寸，不要求模型直接导出SVG、PSD分层、动画或sprite sheet。</x:v>
      </x:c>
      <x:c r="M92" s="37" t="str">
        <x:v>员工头顶附近中心(0.5,0.65)</x:v>
      </x:c>
      <x:c r="N92" s="37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92" s="37" t="str">
        <x:v>仅员工确实PANICKED；恢复控制后立即退出；相位仅用simulationTimeSec。</x:v>
      </x:c>
      <x:c r="P92" s="37" t="str">
        <x:v>替换vfx_panic_smear_key；清除旧涂鸦思维圈风格，保留真实恐慌撤离动作。</x:v>
      </x:c>
      <x:c r="Q92" s="37" t="str">
        <x:v>头部和行进方向仍清晰；普通低SP未进入PANICKED时不可出现失控特效；不靠高频闪烁区分。</x:v>
      </x:c>
      <x:c r="R92" s="37" t="str">
        <x:v>待生成／待接入</x:v>
      </x:c>
      <x:c r="S92" s="37" t="str">
        <x:v>VFX_002</x:v>
      </x:c>
    </x:row>
    <x:row r="93" ht="86.25" customHeight="1">
      <x:c r="A93" s="38" t="str">
        <x:v>NM_V2_FX_004</x:v>
      </x:c>
      <x:c r="B93" s="38" t="str">
        <x:v>P0常态</x:v>
      </x:c>
      <x:c r="C93" s="38" t="str">
        <x:v>常态VFX/四伤害类型</x:v>
      </x:c>
      <x:c r="D93" s="38" t="str">
        <x:v>nm_v2_vfx_damage_type</x:v>
      </x:c>
      <x:c r="E93" s="38" t="str">
        <x:v>四伤害数字信号命中关键图</x:v>
      </x:c>
      <x:c r="F93" s="38" t="str">
        <x:v>四张独立紧凑信号片段，靠轮廓同时区分而非仅换色；RED异常红短折角、WHITE冷白开口双弧、BLACK深紫交错数据裂片、PALE浅青修长切痕。与现代底图保持线条一致，不再使用旧纸墨屑；没有范围、文字、武器、角色或场景。</x:v>
      </x:c>
      <x:c r="G93" s="38" t="str">
        <x:v>四种不同几何命中语汇：红色折角、白色开口弧、深紫交错裂片、浅青修长切痕；统一现代数字信号质感。</x:v>
      </x:c>
      <x:c r="H93" s="44" t="n">
        <x:f>COUNTIF('逐张提示词'!$B$8:$B$314,A93)</x:f>
        <x:v>4</x:v>
      </x:c>
      <x:c r="I93" s="38" t="str">
        <x:v>VFX关键图</x:v>
      </x:c>
      <x:c r="J93" s="38" t="str">
        <x:v>DamageType=RED/WHITE/BLACK/PALE的真实命中</x:v>
      </x:c>
      <x:c r="K93" s="38" t="str">
        <x:v>每张512×512 px；统一中心与视觉重量</x:v>
      </x:c>
      <x:c r="L93" s="38" t="str">
        <x:v>一单元一张透明PNG（RGBA）；图形完整，四周保留透明安全边；先单张关键图，后处理统一边距与尺寸，不要求模型直接导出SVG、PSD分层、动画或sprite sheet。</x:v>
      </x:c>
      <x:c r="M93" s="38" t="str">
        <x:v>真实命中中心(0.5,0.5)</x:v>
      </x:c>
      <x:c r="N93" s="38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93" s="38" t="str">
        <x:v>类型严格来自真实DamageSpec；大小/方向/淡出由现有命中点和remaining控制，不改变伤害规则。</x:v>
      </x:c>
      <x:c r="P93" s="38" t="str">
        <x:v>替换vfx_damage_red/white/black/pale_key四图；RED/WHITE/BLACK/PALE枚举和结算全部不变。</x:v>
      </x:c>
      <x:c r="Q93" s="38" t="str">
        <x:v>40–70世界像素与灰度预览仍区分四轮廓；不得将WHITE画成治疗、PALE画成冰冻、BLACK画成新增毒雾；相同命中不重复计算。</x:v>
      </x:c>
      <x:c r="R93" s="38" t="str">
        <x:v>待生成／待接入</x:v>
      </x:c>
      <x:c r="S93" s="38" t="str">
        <x:v>VFX_005；VFX_006；VFX_007；VFX_008</x:v>
      </x:c>
    </x:row>
    <x:row r="94" ht="129" customHeight="1">
      <x:c r="A94" s="37" t="str">
        <x:v>NMV2_ABN_N01_04</x:v>
      </x:c>
      <x:c r="B94" s="37" t="str">
        <x:v>P1局部污染</x:v>
      </x:c>
      <x:c r="C94" s="37" t="str">
        <x:v>收容物</x:v>
      </x:c>
      <x:c r="D94" s="37" t="str">
        <x:v>nm_v2_abn_nailong_pollution_identity</x:v>
      </x:c>
      <x:c r="E94" s="37" t="str">
        <x:v>N01 奶龙｜局部污染状态定稿</x:v>
      </x:c>
      <x:c r="F94" s="37" t="str">
        <x:v>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低龄短视频反复刷到同一个表情，暖黄色圆角评论、点赞小表情与重复内容形成明亮但逐渐密集的压迫感；平台气泡/文字由独立污染层承担，不把字幕烘焙进身体。 定稿聚焦一个角色的状态，不画整间房、其他实体或平台界面大拼贴。普通体型和脚底不变。</x:v>
      </x:c>
      <x:c r="G94" s="37" t="str">
        <x:v>圆润暖黄软胶玩偶与低龄动画吉祥物；奶白肚皮、短肢、圆眼、柔软尾巴，参考现代儿童内容的干净平面形状，避免恐怖版恐龙。 以NMV2_ABN_N01_01为同一个体；平台母题为：低龄短视频反复刷到同一个表情，暖黄色圆角评论、点赞小表情与重复内容形成明亮但逐渐密集的压迫感；平台气泡/文字由独立污染层承担，不把字幕烘焙进身体。</x:v>
      </x:c>
      <x:c r="H94" s="43" t="n">
        <x:f>COUNTIF('逐张提示词'!$B$8:$B$314,A94)</x:f>
        <x:v>1</x:v>
      </x:c>
      <x:c r="I94" s="37" t="str">
        <x:v>定稿参考</x:v>
      </x:c>
      <x:c r="J94" s="37" t="str">
        <x:v>BREACHED / 局部平台污染</x:v>
      </x:c>
      <x:c r="K94" s="37" t="str">
        <x:v>1024×1024 px / 每张</x:v>
      </x:c>
      <x:c r="L94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94" s="37" t="str">
        <x:v>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</x:v>
      </x:c>
      <x:c r="N94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94" s="37" t="str">
        <x:v>只对应既有BREACHED实体，不由图片自动触发事件或扩大污染。</x:v>
      </x:c>
      <x:c r="P94" s="37" t="str">
        <x:v>替换旧ABN_N01_03恐怖化失效定稿；失效辨识依靠局部平台母题，不另造完全不同的怪物。</x:v>
      </x:c>
      <x:c r="Q94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94" s="37" t="str">
        <x:v>待生成／待接入</x:v>
      </x:c>
      <x:c r="S94" s="37" t="str">
        <x:v>ABN_N01_03</x:v>
      </x:c>
    </x:row>
    <x:row r="95" ht="114.75" customHeight="1">
      <x:c r="A95" s="38" t="str">
        <x:v>NMV2_ABN_N01_05</x:v>
      </x:c>
      <x:c r="B95" s="38" t="str">
        <x:v>P1局部污染</x:v>
      </x:c>
      <x:c r="C95" s="38" t="str">
        <x:v>收容物</x:v>
      </x:c>
      <x:c r="D95" s="38" t="str">
        <x:v>nm_v2_abn_nailong_pollution_parts</x:v>
      </x:c>
      <x:c r="E95" s="38" t="str">
        <x:v>N01 奶龙｜局部污染替换件</x:v>
      </x:c>
      <x:c r="F95" s="38" t="str">
        <x:v>现代2D设施中的网梗收容物，简洁明确轮廓、干净色块、克制柔和阴影。常态可爱或荒诞；局部平台污染通过重复表情、色彩强调和外部覆盖层呈现，保留物种结构与正常肢体长度。 低龄短视频反复刷到同一个表情，暖黄色圆角评论、点赞小表情与重复内容形成明亮但逐渐密集的压迫感；平台气泡/文字由独立污染层承担，不把字幕烘焙进身体。 只增加必要的面部/胸牌局部层，不能生成另一具身体；显示本层时隐藏对应普通层，避免双眼双嘴叠印。</x:v>
      </x:c>
      <x:c r="G95" s="38" t="str">
        <x:v>圆润暖黄软胶玩偶与低龄动画吉祥物；奶白肚皮、短肢、圆眼、柔软尾巴，参考现代儿童内容的干净平面形状，避免恐怖版恐龙。 参考NMV2_ABN_N01_04批准的单角色污染表情/胸牌，严格沿用同一面部挂点。</x:v>
      </x:c>
      <x:c r="H95" s="44" t="n">
        <x:f>COUNTIF('逐张提示词'!$B$8:$B$314,A95)</x:f>
        <x:v>2</x:v>
      </x:c>
      <x:c r="I95" s="38" t="str">
        <x:v>运行拆件</x:v>
      </x:c>
      <x:c r="J95" s="38" t="str">
        <x:v>BREACHED / 局部替换层</x:v>
      </x:c>
      <x:c r="K95" s="38" t="str">
        <x:v>1024×1024 px / 每张</x:v>
      </x:c>
      <x:c r="L95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95" s="38" t="str">
        <x:v>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</x:v>
      </x:c>
      <x:c r="N95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95" s="38" t="str">
        <x:v>仅真实BREACHED或既有攻击状态切换对应层；不在CONTAINED长期闪烁，不用现实时间推进。</x:v>
      </x:c>
      <x:c r="P95" s="38" t="str">
        <x:v>旧ABN_N01_04的长颈、裂口、空眼替换为同体型常态9件加污染面部2件；保留短肢可动骨架。主形和分身只复用同一资源，定稿不得直接代替活动实体。 本组仅替换对应脸/眼/嘴/胸牌，未列出的常态部件继续复用；状态退出后恢复常态层。</x:v>
      </x:c>
      <x:c r="Q95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</x:v>
      </x:c>
      <x:c r="R95" s="38" t="str">
        <x:v>待生成／待接入</x:v>
      </x:c>
      <x:c r="S95" s="38" t="str">
        <x:v>ABN_N01_04</x:v>
      </x:c>
    </x:row>
    <x:row r="96" ht="143.25" customHeight="1">
      <x:c r="A96" s="37" t="str">
        <x:v>NMV2_ABN_N01_06</x:v>
      </x:c>
      <x:c r="B96" s="37" t="str">
        <x:v>P1局部污染</x:v>
      </x:c>
      <x:c r="C96" s="37" t="str">
        <x:v>收容物</x:v>
      </x:c>
      <x:c r="D96" s="37" t="str">
        <x:v>nm_v2_abn_nailong_combat_reference</x:v>
      </x:c>
      <x:c r="E96" s="37" t="str">
        <x:v>N01 奶龙｜失效动作参考</x:v>
      </x:c>
      <x:c r="F96" s="37" t="str">
        <x:v>现代2D设施中的网梗收容物，简洁明确轮廓、干净色块、克制柔和阴影。常态可爱或荒诞；局部平台污染通过重复表情、色彩强调和外部覆盖层呈现，保留物种结构与正常肢体长度。 低龄短视频反复刷到同一个表情，暖黄色圆角评论、点赞小表情与重复内容形成明亮但逐渐密集的压迫感；平台气泡/文字由独立污染层承担，不把字幕烘焙进身体。 失效主形与既有分身追击；WHITE攻击的前摇/命中以现有引擎事件为准。重复内容通过短节奏循环动作表达，不新增分身数量、传播机制或产能。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G96" s="37" t="str">
        <x:v>圆润暖黄软胶玩偶与低龄动画吉祥物；奶白肚皮、短肢、圆眼、柔软尾巴，参考现代儿童内容的干净平面形状，避免恐怖版恐龙。 参考短步可读的重心交替与前摇—发声/挥击—回收；沿用NMV2_ABN_N01_04，不混入其他角色或技能特效。</x:v>
      </x:c>
      <x:c r="H96" s="43" t="n">
        <x:f>COUNTIF('逐张提示词'!$B$8:$B$314,A96)</x:f>
        <x:v>5</x:v>
      </x:c>
      <x:c r="I96" s="37" t="str">
        <x:v>动作参考</x:v>
      </x:c>
      <x:c r="J96" s="37" t="str">
        <x:v>BREACHED / MOVING / WINDUP / HIT</x:v>
      </x:c>
      <x:c r="K96" s="37" t="str">
        <x:v>1024×1024 px / 每张</x:v>
      </x:c>
      <x:c r="L96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96" s="37" t="str">
        <x:v>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</x:v>
      </x:c>
      <x:c r="N96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96" s="37" t="str">
        <x:v>失效主形与既有分身追击；WHITE攻击的前摇/命中以现有引擎事件为准。重复内容通过短节奏循环动作表达，不新增分身数量、传播机制或产能。</x:v>
      </x:c>
      <x:c r="P96" s="37" t="str">
        <x:v>旧ABN_N01_05参考收敛为5张，移除重复恢复帧与恐怖拉伸；攻击恢复直接回插基型，动作参考不当运行帧。</x:v>
      </x:c>
      <x:c r="Q96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96" s="37" t="str">
        <x:v>待生成／待接入</x:v>
      </x:c>
      <x:c r="S96" s="37" t="str">
        <x:v>ABN_N01_05</x:v>
      </x:c>
    </x:row>
    <x:row r="97" ht="129" customHeight="1">
      <x:c r="A97" s="38" t="str">
        <x:v>NMV2_ABN_N02_04</x:v>
      </x:c>
      <x:c r="B97" s="38" t="str">
        <x:v>P1局部污染</x:v>
      </x:c>
      <x:c r="C97" s="38" t="str">
        <x:v>收容物</x:v>
      </x:c>
      <x:c r="D97" s="38" t="str">
        <x:v>nm_v2_abn_maodie_pollution_identity</x:v>
      </x:c>
      <x:c r="E97" s="38" t="str">
        <x:v>N02 耄耋｜局部污染状态定稿</x:v>
      </x:c>
      <x:c r="F97" s="38" t="str">
        <x:v>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像评论区争吵突然爆发的情绪表情包：眉眼和张嘴形状夸张，局部脏粉/异常红提升；感叹号、争吵气泡、负面评论由外部污染层呈现，不绘成角色新增武器。 定稿聚焦一个角色的状态，不画整间房、其他实体或平台界面大拼贴。普通体型和脚底不变。</x:v>
      </x:c>
      <x:c r="G97" s="38" t="str">
        <x:v>暖灰短毛猫的三角耳、圆角方脸与翘尾；结合情绪表情包里不耐烦、震惊、气鼓鼓的眉眼，使用简洁扁平色块和脏粉耳内色。 以NMV2_ABN_N02_01为同一个体；平台母题为：像评论区争吵突然爆发的情绪表情包：眉眼和张嘴形状夸张，局部脏粉/异常红提升；感叹号、争吵气泡、负面评论由外部污染层呈现，不绘成角色新增武器。</x:v>
      </x:c>
      <x:c r="H97" s="44" t="n">
        <x:f>COUNTIF('逐张提示词'!$B$8:$B$314,A97)</x:f>
        <x:v>1</x:v>
      </x:c>
      <x:c r="I97" s="38" t="str">
        <x:v>定稿参考</x:v>
      </x:c>
      <x:c r="J97" s="38" t="str">
        <x:v>BREACHED / 局部平台污染</x:v>
      </x:c>
      <x:c r="K97" s="38" t="str">
        <x:v>1024×1024 px / 每张</x:v>
      </x:c>
      <x:c r="L97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97" s="38" t="str">
        <x:v>根在两只后足地面中点；1024×1024装配母版(512,896)，朝右；颈、肩、后腿根、尾根和脸层分别记录pivot。污染只换脸层，肢体长度和足底不变。</x:v>
      </x:c>
      <x:c r="N97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97" s="38" t="str">
        <x:v>只对应既有BREACHED实体，不由图片自动触发事件或扩大污染。</x:v>
      </x:c>
      <x:c r="P97" s="38" t="str">
        <x:v>替换旧ABN_N02_03恐怖化失效定稿；失效辨识依靠局部平台母题，不另造完全不同的怪物。</x:v>
      </x:c>
      <x:c r="Q97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97" s="38" t="str">
        <x:v>待生成／待接入</x:v>
      </x:c>
      <x:c r="S97" s="38" t="str">
        <x:v>ABN_N02_03</x:v>
      </x:c>
    </x:row>
    <x:row r="98" ht="114.75" customHeight="1">
      <x:c r="A98" s="37" t="str">
        <x:v>NMV2_ABN_N02_05</x:v>
      </x:c>
      <x:c r="B98" s="37" t="str">
        <x:v>P1局部污染</x:v>
      </x:c>
      <x:c r="C98" s="37" t="str">
        <x:v>收容物</x:v>
      </x:c>
      <x:c r="D98" s="37" t="str">
        <x:v>nm_v2_abn_maodie_pollution_parts</x:v>
      </x:c>
      <x:c r="E98" s="37" t="str">
        <x:v>N02 耄耋｜局部污染替换件</x:v>
      </x:c>
      <x:c r="F98" s="37" t="str">
        <x:v>现代2D设施中的网梗收容物，简洁明确轮廓、干净色块、克制柔和阴影。常态可爱或荒诞；局部平台污染通过重复表情、色彩强调和外部覆盖层呈现，保留物种结构与正常肢体长度。 像评论区争吵突然爆发的情绪表情包：眉眼和张嘴形状夸张，局部脏粉/异常红提升；感叹号、争吵气泡、负面评论由外部污染层呈现，不绘成角色新增武器。 只增加必要的面部/胸牌局部层，不能生成另一具身体；显示本层时隐藏对应普通层，避免双眼双嘴叠印。</x:v>
      </x:c>
      <x:c r="G98" s="37" t="str">
        <x:v>暖灰短毛猫的三角耳、圆角方脸与翘尾；结合情绪表情包里不耐烦、震惊、气鼓鼓的眉眼，使用简洁扁平色块和脏粉耳内色。 参考NMV2_ABN_N02_04批准的单角色污染表情/胸牌，严格沿用同一面部挂点。</x:v>
      </x:c>
      <x:c r="H98" s="43" t="n">
        <x:f>COUNTIF('逐张提示词'!$B$8:$B$314,A98)</x:f>
        <x:v>1</x:v>
      </x:c>
      <x:c r="I98" s="37" t="str">
        <x:v>运行拆件</x:v>
      </x:c>
      <x:c r="J98" s="37" t="str">
        <x:v>BREACHED / 局部替换层</x:v>
      </x:c>
      <x:c r="K98" s="37" t="str">
        <x:v>1024×1024 px / 每张</x:v>
      </x:c>
      <x:c r="L98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98" s="37" t="str">
        <x:v>根在两只后足地面中点；1024×1024装配母版(512,896)，朝右；颈、肩、后腿根、尾根和脸层分别记录pivot。污染只换脸层，肢体长度和足底不变。</x:v>
      </x:c>
      <x:c r="N98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98" s="37" t="str">
        <x:v>仅真实BREACHED或既有攻击状态切换对应层；不在CONTAINED长期闪烁，不用现实时间推进。</x:v>
      </x:c>
      <x:c r="P98" s="37" t="str">
        <x:v>旧ABN_N02_04的失效长肢与恐怖头不再使用；常态8件复用到失效，只增加1张情绪脸层。耳、尾与正常短肢负责轮廓，不靠拉长肢体区分状态。 本组仅替换对应脸/眼/嘴/胸牌，未列出的常态部件继续复用；状态退出后恢复常态层。</x:v>
      </x:c>
      <x:c r="Q98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</x:v>
      </x:c>
      <x:c r="R98" s="37" t="str">
        <x:v>待生成／待接入</x:v>
      </x:c>
      <x:c r="S98" s="37" t="str">
        <x:v>ABN_N02_04</x:v>
      </x:c>
    </x:row>
    <x:row r="99" ht="129" customHeight="1">
      <x:c r="A99" s="38" t="str">
        <x:v>NMV2_ABN_N02_06</x:v>
      </x:c>
      <x:c r="B99" s="38" t="str">
        <x:v>P1局部污染</x:v>
      </x:c>
      <x:c r="C99" s="38" t="str">
        <x:v>收容物</x:v>
      </x:c>
      <x:c r="D99" s="38" t="str">
        <x:v>nm_v2_abn_maodie_combat_reference</x:v>
      </x:c>
      <x:c r="E99" s="38" t="str">
        <x:v>N02 耄耋｜失效动作参考</x:v>
      </x:c>
      <x:c r="F99" s="38" t="str">
        <x:v>现代2D设施中的网梗收容物，简洁明确轮廓、干净色块、克制柔和阴影。常态可爱或荒诞；局部平台污染通过重复表情、色彩强调和外部覆盖层呈现，保留物种结构与正常肢体长度。 像评论区争吵突然爆发的情绪表情包：眉眼和张嘴形状夸张，局部脏粉/异常红提升；感叹号、争吵气泡、负面评论由外部污染层呈现，不绘成角色新增武器。 失效追击与RED近身爪击使用原引擎前摇和射程；情绪化是表情与局部污染表现，不添加情绪资源、攻击模式或额外命中。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G99" s="38" t="str">
        <x:v>暖灰短毛猫的三角耳、圆角方脸与翘尾；结合情绪表情包里不耐烦、震惊、气鼓鼓的眉眼，使用简洁扁平色块和脏粉耳内色。 参考短步可读的重心交替与前摇—发声/挥击—回收；沿用NMV2_ABN_N02_04，不混入其他角色或技能特效。</x:v>
      </x:c>
      <x:c r="H99" s="44" t="n">
        <x:f>COUNTIF('逐张提示词'!$B$8:$B$314,A99)</x:f>
        <x:v>5</x:v>
      </x:c>
      <x:c r="I99" s="38" t="str">
        <x:v>动作参考</x:v>
      </x:c>
      <x:c r="J99" s="38" t="str">
        <x:v>BREACHED / MOVING / WINDUP / HIT</x:v>
      </x:c>
      <x:c r="K99" s="38" t="str">
        <x:v>1024×1024 px / 每张</x:v>
      </x:c>
      <x:c r="L99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99" s="38" t="str">
        <x:v>根在两只后足地面中点；1024×1024装配母版(512,896)，朝右；颈、肩、后腿根、尾根和脸层分别记录pivot。污染只换脸层，肢体长度和足底不变。</x:v>
      </x:c>
      <x:c r="N99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99" s="38" t="str">
        <x:v>失效追击与RED近身爪击使用原引擎前摇和射程；情绪化是表情与局部污染表现，不添加情绪资源、攻击模式或额外命中。</x:v>
      </x:c>
      <x:c r="P99" s="38" t="str">
        <x:v>旧ABN_N02_05参考收敛为5张，移除重复恢复帧与恐怖拉伸；攻击恢复直接回插基型，动作参考不当运行帧。</x:v>
      </x:c>
      <x:c r="Q99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99" s="38" t="str">
        <x:v>待生成／待接入</x:v>
      </x:c>
      <x:c r="S99" s="38" t="str">
        <x:v>ABN_N02_05</x:v>
      </x:c>
    </x:row>
    <x:row r="100" ht="129" customHeight="1">
      <x:c r="A100" s="37" t="str">
        <x:v>NMV2_ABN_N03_04</x:v>
      </x:c>
      <x:c r="B100" s="37" t="str">
        <x:v>P1局部污染</x:v>
      </x:c>
      <x:c r="C100" s="37" t="str">
        <x:v>收容物</x:v>
      </x:c>
      <x:c r="D100" s="37" t="str">
        <x:v>nm_v2_abn_big_dog_pollution_identity</x:v>
      </x:c>
      <x:c r="E100" s="37" t="str">
        <x:v>N03 大狗｜局部污染状态定稿</x:v>
      </x:c>
      <x:c r="F100" s="37" t="str">
        <x:v>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爆款直播间的围观与打call：兴奋目光、张口号召、红橙和粉红强调；爱心、点赞、直播角标、应援浪潮属于独立污染覆盖层，角色本体仍是热情大狗。 定稿聚焦一个角色的状态，不画整间房、其他实体或平台界面大拼贴。普通体型和脚底不变。</x:v>
      </x:c>
      <x:c r="G100" s="37" t="str">
        <x:v>友好大型垂耳犬、红橙配粉白的现代吉祥物造型；宽圆口鼻和摇尾轮廓，参考直播应援的高兴表情，不参考张裂巨口或阴森犬兽。 以NMV2_ABN_N03_01为同一个体；平台母题为：爆款直播间的围观与打call：兴奋目光、张口号召、红橙和粉红强调；爱心、点赞、直播角标、应援浪潮属于独立污染覆盖层，角色本体仍是热情大狗。</x:v>
      </x:c>
      <x:c r="H100" s="43" t="n">
        <x:f>COUNTIF('逐张提示词'!$B$8:$B$314,A100)</x:f>
        <x:v>1</x:v>
      </x:c>
      <x:c r="I100" s="37" t="str">
        <x:v>定稿参考</x:v>
      </x:c>
      <x:c r="J100" s="37" t="str">
        <x:v>BREACHED / 局部平台污染</x:v>
      </x:c>
      <x:c r="K100" s="37" t="str">
        <x:v>1536×1024 px / 每张</x:v>
      </x:c>
      <x:c r="L100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00" s="37" t="str">
        <x:v>根在四足支撑面地面中心；1536×1024装配母版(768,896)，朝右。记录颈根、上下口鼻铰点、舌根、前/后腿根、尾根和项圈挂点。前腿/后腿各一张源件，可按既有前后层重复实例并遮挡，不能因此增加游戏实体。</x:v>
      </x:c>
      <x:c r="N100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00" s="37" t="str">
        <x:v>只对应既有BREACHED实体，不由图片自动触发事件或扩大污染。</x:v>
      </x:c>
      <x:c r="P100" s="37" t="str">
        <x:v>替换旧ABN_N03_03恐怖化失效定稿；失效辨识依靠局部平台母题，不另造完全不同的怪物。</x:v>
      </x:c>
      <x:c r="Q100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100" s="37" t="str">
        <x:v>待生成／待接入</x:v>
      </x:c>
      <x:c r="S100" s="37" t="str">
        <x:v>ABN_N03_03</x:v>
      </x:c>
    </x:row>
    <x:row r="101" ht="114.75" customHeight="1">
      <x:c r="A101" s="38" t="str">
        <x:v>NMV2_ABN_N03_05</x:v>
      </x:c>
      <x:c r="B101" s="38" t="str">
        <x:v>P1局部污染</x:v>
      </x:c>
      <x:c r="C101" s="38" t="str">
        <x:v>收容物</x:v>
      </x:c>
      <x:c r="D101" s="38" t="str">
        <x:v>nm_v2_abn_big_dog_pollution_parts</x:v>
      </x:c>
      <x:c r="E101" s="38" t="str">
        <x:v>N03 大狗｜局部污染替换件</x:v>
      </x:c>
      <x:c r="F101" s="38" t="str">
        <x:v>现代2D设施中的网梗收容物，简洁明确轮廓、干净色块、克制柔和阴影。常态可爱或荒诞；局部平台污染通过重复表情、色彩强调和外部覆盖层呈现，保留物种结构与正常肢体长度。 爆款直播间的围观与打call：兴奋目光、张口号召、红橙和粉红强调；爱心、点赞、直播角标、应援浪潮属于独立污染覆盖层，角色本体仍是热情大狗。 只增加必要的面部/胸牌局部层，不能生成另一具身体；显示本层时隐藏对应普通层，避免双眼双嘴叠印。</x:v>
      </x:c>
      <x:c r="G101" s="38" t="str">
        <x:v>友好大型垂耳犬、红橙配粉白的现代吉祥物造型；宽圆口鼻和摇尾轮廓，参考直播应援的高兴表情，不参考张裂巨口或阴森犬兽。 参考NMV2_ABN_N03_04批准的单角色污染表情/胸牌，严格沿用同一面部挂点。</x:v>
      </x:c>
      <x:c r="H101" s="44" t="n">
        <x:f>COUNTIF('逐张提示词'!$B$8:$B$314,A101)</x:f>
        <x:v>1</x:v>
      </x:c>
      <x:c r="I101" s="38" t="str">
        <x:v>运行拆件</x:v>
      </x:c>
      <x:c r="J101" s="38" t="str">
        <x:v>BREACHED / 局部替换层</x:v>
      </x:c>
      <x:c r="K101" s="38" t="str">
        <x:v>1536×1024 px / 每张</x:v>
      </x:c>
      <x:c r="L101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01" s="38" t="str">
        <x:v>根在四足支撑面地面中心；1536×1024装配母版(768,896)，朝右。记录颈根、上下口鼻铰点、舌根、前/后腿根、尾根和项圈挂点。前腿/后腿各一张源件，可按既有前后层重复实例并遮挡，不能因此增加游戏实体。</x:v>
      </x:c>
      <x:c r="N101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01" s="38" t="str">
        <x:v>仅真实BREACHED或既有攻击状态切换对应层；不在CONTAINED长期闪烁，不用现实时间推进。</x:v>
      </x:c>
      <x:c r="P101" s="38" t="str">
        <x:v>沿用旧ABN_N03_04十件的功能槽数，重新画干净常态犬体；上下口鼻保留正常尺度，新增1张兴奋眼层替换眼睛。原图棕雾/背景不继承。 本组仅替换对应脸/眼/嘴/胸牌，未列出的常态部件继续复用；状态退出后恢复常态层。</x:v>
      </x:c>
      <x:c r="Q101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</x:v>
      </x:c>
      <x:c r="R101" s="38" t="str">
        <x:v>待生成／待接入</x:v>
      </x:c>
      <x:c r="S101" s="38" t="str">
        <x:v>ABN_N03_04</x:v>
      </x:c>
    </x:row>
    <x:row r="102" ht="143.25" customHeight="1">
      <x:c r="A102" s="37" t="str">
        <x:v>NMV2_ABN_N03_06</x:v>
      </x:c>
      <x:c r="B102" s="37" t="str">
        <x:v>P1局部污染</x:v>
      </x:c>
      <x:c r="C102" s="37" t="str">
        <x:v>收容物</x:v>
      </x:c>
      <x:c r="D102" s="37" t="str">
        <x:v>nm_v2_abn_big_dog_combat_reference</x:v>
      </x:c>
      <x:c r="E102" s="37" t="str">
        <x:v>N03 大狗｜失效动作参考</x:v>
      </x:c>
      <x:c r="F102" s="37" t="str">
        <x:v>现代2D设施中的网梗收容物，简洁明确轮廓、干净色块、克制柔和阴影。常态可爱或荒诞；局部平台污染通过重复表情、色彩强调和外部覆盖层呈现，保留物种结构与正常肢体长度。 爆款直播间的围观与打call：兴奋目光、张口号召、红橙和粉红强调；爱心、点赞、直播角标、应援浪潮属于独立污染覆盖层，角色本体仍是热情大狗。 既有APPROACH_AND_AOE与RED嚎叫、击退仅由现有攻击事件结算；演出用正常嘴铰和真实前摇，声浪/打call素材另组，不从外观添加伤害范围或连发。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G102" s="37" t="str">
        <x:v>友好大型垂耳犬、红橙配粉白的现代吉祥物造型；宽圆口鼻和摇尾轮廓，参考直播应援的高兴表情，不参考张裂巨口或阴森犬兽。 参考短步可读的重心交替与前摇—发声/挥击—回收；沿用NMV2_ABN_N03_04，不混入其他角色或技能特效。</x:v>
      </x:c>
      <x:c r="H102" s="43" t="n">
        <x:f>COUNTIF('逐张提示词'!$B$8:$B$314,A102)</x:f>
        <x:v>5</x:v>
      </x:c>
      <x:c r="I102" s="37" t="str">
        <x:v>动作参考</x:v>
      </x:c>
      <x:c r="J102" s="37" t="str">
        <x:v>BREACHED / MOVING / WINDUP / HIT</x:v>
      </x:c>
      <x:c r="K102" s="37" t="str">
        <x:v>1536×1024 px / 每张</x:v>
      </x:c>
      <x:c r="L102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02" s="37" t="str">
        <x:v>根在四足支撑面地面中心；1536×1024装配母版(768,896)，朝右。记录颈根、上下口鼻铰点、舌根、前/后腿根、尾根和项圈挂点。前腿/后腿各一张源件，可按既有前后层重复实例并遮挡，不能因此增加游戏实体。</x:v>
      </x:c>
      <x:c r="N102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02" s="37" t="str">
        <x:v>既有APPROACH_AND_AOE与RED嚎叫、击退仅由现有攻击事件结算；演出用正常嘴铰和真实前摇，声浪/打call素材另组，不从外观添加伤害范围或连发。</x:v>
      </x:c>
      <x:c r="P102" s="37" t="str">
        <x:v>旧ABN_N03_05参考收敛为5张，移除重复恢复帧与恐怖拉伸；攻击恢复直接回插基型，动作参考不当运行帧。</x:v>
      </x:c>
      <x:c r="Q102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102" s="37" t="str">
        <x:v>待生成／待接入</x:v>
      </x:c>
      <x:c r="S102" s="37" t="str">
        <x:v>ABN_N03_05</x:v>
      </x:c>
    </x:row>
    <x:row r="103" ht="129" customHeight="1">
      <x:c r="A103" s="38" t="str">
        <x:v>NMV2_ABN_N04_04</x:v>
      </x:c>
      <x:c r="B103" s="38" t="str">
        <x:v>P1局部污染</x:v>
      </x:c>
      <x:c r="C103" s="38" t="str">
        <x:v>收容物</x:v>
      </x:c>
      <x:c r="D103" s="38" t="str">
        <x:v>nm_v2_abn_dingdong_chicken_pollution_identity</x:v>
      </x:c>
      <x:c r="E103" s="38" t="str">
        <x:v>N04 叮咚鸡｜局部污染状态定稿</x:v>
      </x:c>
      <x:c r="F103" s="38" t="str">
        <x:v>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洗脑循环播报：喙部开合和通知徽章局部红色强调，平台通知框、循环播放标签、波形与进度条由独立覆盖层呈现。胸牌只做通知身份，不绘虚假的倒计时或技能数值。 定稿聚焦一个角色的状态，不画整间房、其他实体或平台界面大拼贴。普通体型和脚底不变。</x:v>
      </x:c>
      <x:c r="G103" s="38" t="str">
        <x:v>现代音频应用通知徽章与明黄鸡形吉祥物；清楚鸡冠、短喙、尾羽和圆角胸牌，参考播报员准备说话的头部动作，非机械钟表或黄铜机器人。 以NMV2_ABN_N04_01为同一个体；平台母题为：洗脑循环播报：喙部开合和通知徽章局部红色强调，平台通知框、循环播放标签、波形与进度条由独立覆盖层呈现。胸牌只做通知身份，不绘虚假的倒计时或技能数值。</x:v>
      </x:c>
      <x:c r="H103" s="44" t="n">
        <x:f>COUNTIF('逐张提示词'!$B$8:$B$314,A103)</x:f>
        <x:v>1</x:v>
      </x:c>
      <x:c r="I103" s="38" t="str">
        <x:v>定稿参考</x:v>
      </x:c>
      <x:c r="J103" s="38" t="str">
        <x:v>BREACHED / 局部平台污染</x:v>
      </x:c>
      <x:c r="K103" s="38" t="str">
        <x:v>1024×1024 px / 每张</x:v>
      </x:c>
      <x:c r="L103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03" s="38" t="str">
        <x:v>根在双足地面中点；1024×1024装配母版(512,896)，朝右。记录颈根、上下喙铰点、翅根、尾根、腿根和胸前徽章固定点。失效本体仍驻留原入口，不为演出添加巡游。</x:v>
      </x:c>
      <x:c r="N103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03" s="38" t="str">
        <x:v>只对应既有BREACHED实体，不由图片自动触发事件或扩大污染。</x:v>
      </x:c>
      <x:c r="P103" s="38" t="str">
        <x:v>替换旧ABN_N04_03恐怖化失效定稿；失效辨识依靠局部平台母题，不另造完全不同的怪物。</x:v>
      </x:c>
      <x:c r="Q103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103" s="38" t="str">
        <x:v>待生成／待接入</x:v>
      </x:c>
      <x:c r="S103" s="38" t="str">
        <x:v>ABN_N04_03</x:v>
      </x:c>
    </x:row>
    <x:row r="104" ht="114.75" customHeight="1">
      <x:c r="A104" s="37" t="str">
        <x:v>NMV2_ABN_N04_05</x:v>
      </x:c>
      <x:c r="B104" s="37" t="str">
        <x:v>P1局部污染</x:v>
      </x:c>
      <x:c r="C104" s="37" t="str">
        <x:v>收容物</x:v>
      </x:c>
      <x:c r="D104" s="37" t="str">
        <x:v>nm_v2_abn_dingdong_chicken_pollution_parts</x:v>
      </x:c>
      <x:c r="E104" s="37" t="str">
        <x:v>N04 叮咚鸡｜局部污染替换件</x:v>
      </x:c>
      <x:c r="F104" s="37" t="str">
        <x:v>现代2D设施中的网梗收容物，简洁明确轮廓、干净色块、克制柔和阴影。常态可爱或荒诞；局部平台污染通过重复表情、色彩强调和外部覆盖层呈现，保留物种结构与正常肢体长度。 洗脑循环播报：喙部开合和通知徽章局部红色强调，平台通知框、循环播放标签、波形与进度条由独立覆盖层呈现。胸牌只做通知身份，不绘虚假的倒计时或技能数值。 只增加必要的面部/胸牌局部层，不能生成另一具身体；显示本层时隐藏对应普通层，避免双眼双嘴叠印。</x:v>
      </x:c>
      <x:c r="G104" s="37" t="str">
        <x:v>现代音频应用通知徽章与明黄鸡形吉祥物；清楚鸡冠、短喙、尾羽和圆角胸牌，参考播报员准备说话的头部动作，非机械钟表或黄铜机器人。 参考NMV2_ABN_N04_04批准的单角色污染表情/胸牌，严格沿用同一面部挂点。</x:v>
      </x:c>
      <x:c r="H104" s="43" t="n">
        <x:f>COUNTIF('逐张提示词'!$B$8:$B$314,A104)</x:f>
        <x:v>1</x:v>
      </x:c>
      <x:c r="I104" s="37" t="str">
        <x:v>运行拆件</x:v>
      </x:c>
      <x:c r="J104" s="37" t="str">
        <x:v>BREACHED / 局部替换层</x:v>
      </x:c>
      <x:c r="K104" s="37" t="str">
        <x:v>1024×1024 px / 每张</x:v>
      </x:c>
      <x:c r="L104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04" s="37" t="str">
        <x:v>根在双足地面中点；1024×1024装配母版(512,896)，朝右。记录颈根、上下喙铰点、翅根、尾根、腿根和胸前徽章固定点。失效本体仍驻留原入口，不为演出添加巡游。</x:v>
      </x:c>
      <x:c r="N104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04" s="37" t="str">
        <x:v>仅真实BREACHED或既有攻击状态切换对应层；不在CONTAINED长期闪烁，不用现实时间推进。</x:v>
      </x:c>
      <x:c r="P104" s="37" t="str">
        <x:v>旧ABN_N04_04的clock_shell/长短指针三件停用，改为1张现代通知胸牌；常态总10件，另1张局部循环提示层。保持本体驻点广播，不把定稿动作解释为新移动能力。 本组仅替换对应脸/眼/嘴/胸牌，未列出的常态部件继续复用；状态退出后恢复常态层。</x:v>
      </x:c>
      <x:c r="Q104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</x:v>
      </x:c>
      <x:c r="R104" s="37" t="str">
        <x:v>待生成／待接入</x:v>
      </x:c>
      <x:c r="S104" s="37" t="str">
        <x:v>ABN_N04_04</x:v>
      </x:c>
    </x:row>
    <x:row r="105" ht="143.25" customHeight="1">
      <x:c r="A105" s="38" t="str">
        <x:v>NMV2_ABN_N04_06</x:v>
      </x:c>
      <x:c r="B105" s="38" t="str">
        <x:v>P1局部污染</x:v>
      </x:c>
      <x:c r="C105" s="38" t="str">
        <x:v>收容物</x:v>
      </x:c>
      <x:c r="D105" s="38" t="str">
        <x:v>nm_v2_abn_dingdong_chicken_combat_reference</x:v>
      </x:c>
      <x:c r="E105" s="38" t="str">
        <x:v>N04 叮咚鸡｜失效动作参考</x:v>
      </x:c>
      <x:c r="F105" s="38" t="str">
        <x:v>现代2D设施中的网梗收容物，简洁明确轮廓、干净色块、克制柔和阴影。常态可爱或荒诞；局部平台污染通过重复表情、色彩强调和外部覆盖层呈现，保留物种结构与正常肢体长度。 洗脑循环播报：喙部开合和通知徽章局部红色强调，平台通知框、循环播放标签、波形与进度条由独立覆盖层呈现。胸牌只做通知身份，不绘虚假的倒计时或技能数值。 现有STATIONARY_BROADCAST的BLACK广播与工作打断规则保持；仅从真实播报前摇/命中显示开喙、翅膀和胸牌变化，不给N04新增行走、追击、计时或覆盖范围。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G105" s="38" t="str">
        <x:v>现代音频应用通知徽章与明黄鸡形吉祥物；清楚鸡冠、短喙、尾羽和圆角胸牌，参考播报员准备说话的头部动作，非机械钟表或黄铜机器人。 参考原地播报的吸气—开喙—回收；沿用NMV2_ABN_N04_04，不混入其他角色或技能特效。</x:v>
      </x:c>
      <x:c r="H105" s="44" t="n">
        <x:f>COUNTIF('逐张提示词'!$B$8:$B$314,A105)</x:f>
        <x:v>3</x:v>
      </x:c>
      <x:c r="I105" s="38" t="str">
        <x:v>动作参考</x:v>
      </x:c>
      <x:c r="J105" s="38" t="str">
        <x:v>BREACHED / STATIONARY_BROADCAST / WINDUP / HIT</x:v>
      </x:c>
      <x:c r="K105" s="38" t="str">
        <x:v>1024×1024 px / 每张</x:v>
      </x:c>
      <x:c r="L105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05" s="38" t="str">
        <x:v>根在双足地面中点；1024×1024装配母版(512,896)，朝右。记录颈根、上下喙铰点、翅根、尾根、腿根和胸前徽章固定点。失效本体仍驻留原入口，不为演出添加巡游。</x:v>
      </x:c>
      <x:c r="N105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05" s="38" t="str">
        <x:v>现有STATIONARY_BROADCAST的BLACK广播与工作打断规则保持；仅从真实播报前摇/命中显示开喙、翅膀和胸牌变化，不给N04新增行走、追击、计时或覆盖范围。</x:v>
      </x:c>
      <x:c r="P105" s="38" t="str">
        <x:v>旧ABN_N04_05参考收敛为3张，移除重复恢复帧与恐怖拉伸；攻击恢复直接回插基型，动作参考不当运行帧。</x:v>
      </x:c>
      <x:c r="Q105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105" s="38" t="str">
        <x:v>待生成／待接入</x:v>
      </x:c>
      <x:c r="S105" s="38" t="str">
        <x:v>ABN_N04_05</x:v>
      </x:c>
    </x:row>
    <x:row r="106" ht="129" customHeight="1">
      <x:c r="A106" s="37" t="str">
        <x:v>NMV2_ABN_N05_04</x:v>
      </x:c>
      <x:c r="B106" s="37" t="str">
        <x:v>P1局部污染</x:v>
      </x:c>
      <x:c r="C106" s="37" t="str">
        <x:v>收容物</x:v>
      </x:c>
      <x:c r="D106" s="37" t="str">
        <x:v>nm_v2_abn_gugu_gaga_pollution_identity</x:v>
      </x:c>
      <x:c r="E106" s="37" t="str">
        <x:v>N05 咕咕嘎嘎｜局部污染状态定稿</x:v>
      </x:c>
      <x:c r="F106" s="37" t="str">
        <x:v>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哭闹与情绪溢出：眼睛含泪、嘴部短促开合、双鳍紧张摆动，粉白浅蓝中少量幼态杂讯色。软弹气泡、拟声和情绪波纹由独立污染层显示，不新增安抚数值条或幼儿照料系统。 定稿聚焦一个角色的状态，不画整间房、其他实体或平台界面大拼贴。普通体型和脚底不变。</x:v>
      </x:c>
      <x:c r="G106" s="37" t="str">
        <x:v>浅蓝粉白软玩偶式企鹅、儿童拟声动画的情绪表情和轻软短围巾；保留正常眼球、短喙、短鳍，避免黑洞眼、错位长颈与阴冷幽灵形态。 以NMV2_ABN_N05_01为同一个体；平台母题为：哭闹与情绪溢出：眼睛含泪、嘴部短促开合、双鳍紧张摆动，粉白浅蓝中少量幼态杂讯色。软弹气泡、拟声和情绪波纹由独立污染层显示，不新增安抚数值条或幼儿照料系统。</x:v>
      </x:c>
      <x:c r="H106" s="43" t="n">
        <x:f>COUNTIF('逐张提示词'!$B$8:$B$314,A106)</x:f>
        <x:v>1</x:v>
      </x:c>
      <x:c r="I106" s="37" t="str">
        <x:v>定稿参考</x:v>
      </x:c>
      <x:c r="J106" s="37" t="str">
        <x:v>BREACHED / 局部平台污染</x:v>
      </x:c>
      <x:c r="K106" s="37" t="str">
        <x:v>1024×1024 px / 每张</x:v>
      </x:c>
      <x:c r="L106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06" s="37" t="str">
        <x:v>根在双足地面中点；1024×1024装配母版(512,896)，朝右；记录头根、上下喙铰点、双鳍根、足根、围巾领口和长短垂片挂点。巡游根位移由实际路径提供，演出不得漂移或拉长身体。</x:v>
      </x:c>
      <x:c r="N106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06" s="37" t="str">
        <x:v>只对应既有BREACHED实体，不由图片自动触发事件或扩大污染。</x:v>
      </x:c>
      <x:c r="P106" s="37" t="str">
        <x:v>替换旧ABN_N05_03恐怖化失效定稿；失效辨识依靠局部平台母题，不另造完全不同的怪物。</x:v>
      </x:c>
      <x:c r="Q106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106" s="37" t="str">
        <x:v>待生成／待接入</x:v>
      </x:c>
      <x:c r="S106" s="37" t="str">
        <x:v>ABN_N05_03</x:v>
      </x:c>
    </x:row>
    <x:row r="107" ht="114.75" customHeight="1">
      <x:c r="A107" s="38" t="str">
        <x:v>NMV2_ABN_N05_05</x:v>
      </x:c>
      <x:c r="B107" s="38" t="str">
        <x:v>P1局部污染</x:v>
      </x:c>
      <x:c r="C107" s="38" t="str">
        <x:v>收容物</x:v>
      </x:c>
      <x:c r="D107" s="38" t="str">
        <x:v>nm_v2_abn_gugu_gaga_pollution_parts</x:v>
      </x:c>
      <x:c r="E107" s="38" t="str">
        <x:v>N05 咕咕嘎嘎｜局部污染替换件</x:v>
      </x:c>
      <x:c r="F107" s="38" t="str">
        <x:v>现代2D设施中的网梗收容物，简洁明确轮廓、干净色块、克制柔和阴影。常态可爱或荒诞；局部平台污染通过重复表情、色彩强调和外部覆盖层呈现，保留物种结构与正常肢体长度。 哭闹与情绪溢出：眼睛含泪、嘴部短促开合、双鳍紧张摆动，粉白浅蓝中少量幼态杂讯色。软弹气泡、拟声和情绪波纹由独立污染层显示，不新增安抚数值条或幼儿照料系统。 只增加必要的面部/胸牌局部层，不能生成另一具身体；显示本层时隐藏对应普通层，避免双眼双嘴叠印。</x:v>
      </x:c>
      <x:c r="G107" s="38" t="str">
        <x:v>浅蓝粉白软玩偶式企鹅、儿童拟声动画的情绪表情和轻软短围巾；保留正常眼球、短喙、短鳍，避免黑洞眼、错位长颈与阴冷幽灵形态。 参考NMV2_ABN_N05_04批准的单角色污染表情/胸牌，严格沿用同一面部挂点。</x:v>
      </x:c>
      <x:c r="H107" s="44" t="n">
        <x:f>COUNTIF('逐张提示词'!$B$8:$B$314,A107)</x:f>
        <x:v>1</x:v>
      </x:c>
      <x:c r="I107" s="38" t="str">
        <x:v>运行拆件</x:v>
      </x:c>
      <x:c r="J107" s="38" t="str">
        <x:v>BREACHED / 局部替换层</x:v>
      </x:c>
      <x:c r="K107" s="38" t="str">
        <x:v>1024×1024 px / 每张</x:v>
      </x:c>
      <x:c r="L107" s="38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07" s="38" t="str">
        <x:v>根在双足地面中点；1024×1024装配母版(512,896)，朝右；记录头根、上下喙铰点、双鳍根、足根、围巾领口和长短垂片挂点。巡游根位移由实际路径提供，演出不得漂移或拉长身体。</x:v>
      </x:c>
      <x:c r="N107" s="38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07" s="38" t="str">
        <x:v>仅真实BREACHED或既有攻击状态切换对应层；不在CONTAINED长期闪烁，不用现实时间推进。</x:v>
      </x:c>
      <x:c r="P107" s="38" t="str">
        <x:v>旧ABN_N05_04的恐怖拉伸与空眼停用；共用正常12件，闭合嘴改成普通上下喙铰接，另1张哭闹眼层。围巾三件沿用槽位，仅换现代软材质；残影由外部效果实现，不另生成多实体。 本组仅替换对应脸/眼/嘴/胸牌，未列出的常态部件继续复用；状态退出后恢复常态层。</x:v>
      </x:c>
      <x:c r="Q107" s="38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</x:v>
      </x:c>
      <x:c r="R107" s="38" t="str">
        <x:v>待生成／待接入</x:v>
      </x:c>
      <x:c r="S107" s="38" t="str">
        <x:v>ABN_N05_04</x:v>
      </x:c>
    </x:row>
    <x:row r="108" ht="143.25" customHeight="1">
      <x:c r="A108" s="37" t="str">
        <x:v>NMV2_ABN_N05_06</x:v>
      </x:c>
      <x:c r="B108" s="37" t="str">
        <x:v>P1局部污染</x:v>
      </x:c>
      <x:c r="C108" s="37" t="str">
        <x:v>收容物</x:v>
      </x:c>
      <x:c r="D108" s="37" t="str">
        <x:v>nm_v2_abn_gugu_gaga_combat_reference</x:v>
      </x:c>
      <x:c r="E108" s="37" t="str">
        <x:v>N05 咕咕嘎嘎｜失效动作参考</x:v>
      </x:c>
      <x:c r="F108" s="37" t="str">
        <x:v>现代2D设施中的网梗收容物，简洁明确轮廓、干净色块、克制柔和阴影。常态可爱或荒诞；局部平台污染通过重复表情、色彩强调和外部覆盖层呈现，保留物种结构与正常肢体长度。 哭闹与情绪溢出：眼睛含泪、嘴部短促开合、双鳍紧张摆动，粉白浅蓝中少量幼态杂讯色。软弹气泡、拟声和情绪波纹由独立污染层显示，不新增安抚数值条或幼儿照料系统。 现有PATROL_AOE及PALE哭闹范围沿用原路径、范围和时序；短鳍摆动与哭闹眼层只呈现真实巡游/前摇/命中，不制造新声场、情绪值、治疗或传送。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G108" s="37" t="str">
        <x:v>浅蓝粉白软玩偶式企鹅、儿童拟声动画的情绪表情和轻软短围巾；保留正常眼球、短喙、短鳍，避免黑洞眼、错位长颈与阴冷幽灵形态。 参考短步可读的重心交替与前摇—发声/挥击—回收；沿用NMV2_ABN_N05_04，不混入其他角色或技能特效。</x:v>
      </x:c>
      <x:c r="H108" s="43" t="n">
        <x:f>COUNTIF('逐张提示词'!$B$8:$B$314,A108)</x:f>
        <x:v>5</x:v>
      </x:c>
      <x:c r="I108" s="37" t="str">
        <x:v>动作参考</x:v>
      </x:c>
      <x:c r="J108" s="37" t="str">
        <x:v>BREACHED / MOVING / WINDUP / HIT</x:v>
      </x:c>
      <x:c r="K108" s="37" t="str">
        <x:v>1024×1024 px / 每张</x:v>
      </x:c>
      <x:c r="L108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08" s="37" t="str">
        <x:v>根在双足地面中点；1024×1024装配母版(512,896)，朝右；记录头根、上下喙铰点、双鳍根、足根、围巾领口和长短垂片挂点。巡游根位移由实际路径提供，演出不得漂移或拉长身体。</x:v>
      </x:c>
      <x:c r="N108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08" s="37" t="str">
        <x:v>现有PATROL_AOE及PALE哭闹范围沿用原路径、范围和时序；短鳍摆动与哭闹眼层只呈现真实巡游/前摇/命中，不制造新声场、情绪值、治疗或传送。</x:v>
      </x:c>
      <x:c r="P108" s="37" t="str">
        <x:v>旧ABN_N05_05参考收敛为5张，移除重复恢复帧与恐怖拉伸；攻击恢复直接回插基型，动作参考不当运行帧。</x:v>
      </x:c>
      <x:c r="Q108" s="37" t="str">
        <x:v>缩至既有场景约100px体量仍能分辨五物轮廓；根脚底与真实实体锚点对齐，点击点/碰撞/路径/射程不随美术扩大；关键脸部、手足和攻击朝向清楚；不遮挡选中圈、HP/SP、房间编号和状态。真透明无棕雾/彩晕，主体不半透明，无无关相邻零件，旋转关节有接合余量。 本组是骨架动作/姿态参考，不是逐帧动画、sprite sheet或运行贴图；后续仅按现有pose.time/stride、working、windup、hurt等真实状态制作部件动作，暂停时冻结，不用参考图自动改变速度、伤害、产能或攻击时序。</x:v>
      </x:c>
      <x:c r="R108" s="37" t="str">
        <x:v>待生成／待接入</x:v>
      </x:c>
      <x:c r="S108" s="37" t="str">
        <x:v>ABN_N05_05</x:v>
      </x:c>
    </x:row>
    <x:row r="109" ht="129" customHeight="1">
      <x:c r="A109" s="38" t="str">
        <x:v>ENV_V2_033</x:v>
      </x:c>
      <x:c r="B109" s="38" t="str">
        <x:v>P1局部污染</x:v>
      </x:c>
      <x:c r="C109" s="38" t="str">
        <x:v>局部表面污染</x:v>
      </x:c>
      <x:c r="D109" s="38" t="str">
        <x:v>nm_v2_env_room_surface_contamination</x:v>
      </x:c>
      <x:c r="E109" s="38" t="str">
        <x:v>五室局部平台污染表面层</x:v>
      </x:c>
      <x:c r="F109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只为房内观察玻璃或设备屏幕提供一层克制的静态污染载体。每张主体在边角或边缘，至少70%画布透明，中心实体与工作位净空。N01暖黄重复圆角影；N02灰粉/异常红断裂短框；N03红橙粉白直播角纹；N04黄橙通知分隔条；N05浅蓝粉白软波纹。所有动态评论、词语、数字、头像和弹幕由独立UI/VFX模块产生，不烘进本环境层。</x:v>
      </x:c>
      <x:c r="G109" s="38" t="str">
        <x:v>透明玻璃上的稀疏投影界面残影：暖黄圆角重复框、情绪评论短框、直播界面角纹、通知分隔线和柔色情绪波纹；参考边角附着方式，不画可读文字或完整UI。只参考结构，按本版色板绘制为二维正交侧视素材，不照搬对象的原配色、品牌或文字。</x:v>
      </x:c>
      <x:c r="H109" s="44" t="n">
        <x:f>COUNTIF('逐张提示词'!$B$8:$B$314,A109)</x:f>
        <x:v>5</x:v>
      </x:c>
      <x:c r="I109" s="38" t="str">
        <x:v>覆盖层</x:v>
      </x:c>
      <x:c r="J109" s="38" t="str">
        <x:v>失效局部覆盖层（规划）</x:v>
      </x:c>
      <x:c r="K109" s="38" t="str">
        <x:v>每unit=1024×768 px，独立同规格透明画布。</x:v>
      </x:c>
      <x:c r="L109" s="38" t="str">
        <x:v>RGBA透明PNG，sRGB，8bit；一unit一文件；文件名=name+'_'+suffix+'.png'。</x:v>
      </x:c>
      <x:c r="M109" s="38" t="str">
        <x:v>左上(0,0)；针对目标玻璃/屏面的裁切矩形另记，不能直接罩整间房。</x:v>
      </x:c>
      <x:c r="N109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109" s="38" t="str">
        <x:v>规划复用单房BREACHED显示；CONTAINED不显示，RECOVERING可在固定模拟秒内淡出。尚无接入代码，具体淡出时长待显示层定稿，不作为玩法数值；暂停必须冻结动画，不自建传播/热度/污染计量。</x:v>
      </x:c>
      <x:c r="P109" s="38" t="str">
        <x:v>新增P1规划视觉：现EnvironmentArt仅静态draw和门扇可见性，没有污染贴层控制。后续显示适配须按目标房间mode单独挂载/裁切；不得覆盖全图、从截图推断状态或新增污染数值。它们与原67件不替换，作为可关闭覆盖层。</x:v>
      </x:c>
      <x:c r="Q109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每张至少70%画布透明；单房窗口内裁切；底层门窗/实体/编号/状态始终可读。P1缺失时基础常态资产仍完整可用。</x:v>
      </x:c>
      <x:c r="R109" s="38" t="str">
        <x:v>待生成／待接入</x:v>
      </x:c>
      <x:c r="S109" s="38" t="str"/>
    </x:row>
    <x:row r="110" ht="86.25" customHeight="1">
      <x:c r="A110" s="37" t="str">
        <x:v>NM_V2_FX_005</x:v>
      </x:c>
      <x:c r="B110" s="37" t="str">
        <x:v>P1局部污染</x:v>
      </x:c>
      <x:c r="C110" s="37" t="str">
        <x:v>局部污染VFX/共享故障边</x:v>
      </x:c>
      <x:c r="D110" s="37" t="str">
        <x:v>nm_v2_vfx_local_signal_tear</x:v>
      </x:c>
      <x:c r="E110" s="37" t="str">
        <x:v>共享局部压缩撕裂片</x:v>
      </x:c>
      <x:c r="F110" s="37" t="str">
        <x:v>一段小型视频信号错位片：少量矩形压缩块、断续短扫描线、窄RGB边缘偏移，背景透明；中性色为主，异常色由程序少量着色。可在不同房间边缘复用，无整屏破裂、长噪声墙或具体平台标题。</x:v>
      </x:c>
      <x:c r="G110" s="37" t="str">
        <x:v>短视频信号的局部压缩碎块与小段RGB错位边；只参考互联网故障感，不做完整播放界面或全屏噪声。</x:v>
      </x:c>
      <x:c r="H110" s="43" t="n">
        <x:f>COUNTIF('逐张提示词'!$B$8:$B$314,A110)</x:f>
        <x:v>1</x:v>
      </x:c>
      <x:c r="I110" s="37" t="str">
        <x:v>VFX关键图</x:v>
      </x:c>
      <x:c r="J110" s="37" t="str">
        <x:v>对应房间BREACHED；恢复后收束</x:v>
      </x:c>
      <x:c r="K110" s="37" t="str">
        <x:v>1024×256 px；仅单条横向片段</x:v>
      </x:c>
      <x:c r="L110" s="37" t="str">
        <x:v>一单元一张透明PNG（RGBA）；图形完整，四周保留透明安全边；先单张关键图，后处理统一边距与尺寸，不要求模型直接导出SVG、PSD分层、动画或sprite sheet。</x:v>
      </x:c>
      <x:c r="M110" s="37" t="str">
        <x:v>局部房间边缘中点(0.5,0.5)</x:v>
      </x:c>
      <x:c r="N110" s="37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110" s="37" t="str">
        <x:v>只绑定当前真实BREACHED房间边缘；RECOVERING可短暂收束但不得继续表现成失效；具体时长建议待调。</x:v>
      </x:c>
      <x:c r="P110" s="37" t="str">
        <x:v>替换vfx_breach_scan_tear_key；维持room rect裁切和非交互图像池；不建立污染传播状态。</x:v>
      </x:c>
      <x:c r="Q110" s="37" t="str">
        <x:v>门口、员工、敌人、房间编号及状态不被覆盖；装饰不构成攻击范围；建议单次0.4–0.8模拟秒、低频错位、局部屏幕面积≤12%，均为待调建议。</x:v>
      </x:c>
      <x:c r="R110" s="37" t="str">
        <x:v>待生成／待接入</x:v>
      </x:c>
      <x:c r="S110" s="37" t="str">
        <x:v>VFX_003</x:v>
      </x:c>
    </x:row>
    <x:row r="111" ht="86.25" customHeight="1">
      <x:c r="A111" s="38" t="str">
        <x:v>NM_V2_POLL_N01</x:v>
      </x:c>
      <x:c r="B111" s="38" t="str">
        <x:v>P1局部污染</x:v>
      </x:c>
      <x:c r="C111" s="38" t="str">
        <x:v>五物局部污染/N01奶龙</x:v>
      </x:c>
      <x:c r="D111" s="38" t="str">
        <x:v>nm_v2_poll_n01_repeat</x:v>
      </x:c>
      <x:c r="E111" s="38" t="str">
        <x:v>奶龙重复评论与推荐卡母版</x:v>
      </x:c>
      <x:c r="F111" s="38" t="str">
        <x:v>暖黄#FFD84D与奶白主色；圆角、软边、轻柔却重复的低龄内容平台语汇。两张母版：圆角评论气泡与空白推荐卡。推荐卡仅含一个空缩略图窗、空标题带，不能画完整奶龙缩略图或播放数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</x:v>
      </x:c>
      <x:c r="G111" s="38" t="str">
        <x:v>奶龙的暖黄奶白、圆润低龄内容气质；对应软圆角评论气泡与无字推荐卡，亲和但重复形成压迫。</x:v>
      </x:c>
      <x:c r="H111" s="44" t="n">
        <x:f>COUNTIF('逐张提示词'!$B$8:$B$314,A111)</x:f>
        <x:v>2</x:v>
      </x:c>
      <x:c r="I111" s="38" t="str">
        <x:v>覆盖层</x:v>
      </x:c>
      <x:c r="J111" s="38" t="str">
        <x:v>N01 BREACHED及真实主样本/分身活动</x:v>
      </x:c>
      <x:c r="K111" s="38" t="str">
        <x:v>每张1024×512 px；内容区至少70%留白</x:v>
      </x:c>
      <x:c r="L111" s="38" t="str">
        <x:v>一单元一张透明PNG（RGBA）；图形完整，四周保留透明安全边；先单张关键图，后处理统一边距与尺寸，不要求模型直接导出SVG、PSD分层、动画或sprite sheet。</x:v>
      </x:c>
      <x:c r="M111" s="38" t="str">
        <x:v>气泡尾端/卡片左边缘，由程序锚定N01房间局部</x:v>
      </x:c>
      <x:c r="N111" s="38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111" s="38" t="str">
        <x:v>N01真实失效后局部出现；密度可按实际主样本/分身存在与当前状态安排，不能因画面重复生成额外实体。</x:v>
      </x:c>
      <x:c r="P111" s="38" t="str">
        <x:v>新增独立覆盖层，不能替换或合并N01真实1主+2分身sprite；推荐卡可作为其他异常P2推荐片的共享空框。</x:v>
      </x:c>
      <x:c r="Q111" s="38" t="str">
        <x:v>浅深底透明合成都干净；可在1280×720读清基础信息；建议单次0.6–1.2模拟秒、每活跃房间同时2–4片、局部覆盖≤15%，均为建议待调。退出BREACHED后清除或短淡出，暂停相位冻结。 圆润重复母题与N02尖锐评论一眼可区分。</x:v>
      </x:c>
      <x:c r="R111" s="38" t="str">
        <x:v>待生成／待接入</x:v>
      </x:c>
      <x:c r="S111" s="38" t="str"/>
    </x:row>
    <x:row r="112" ht="86.25" customHeight="1">
      <x:c r="A112" s="37" t="str">
        <x:v>NM_V2_POLL_N02</x:v>
      </x:c>
      <x:c r="B112" s="37" t="str">
        <x:v>P1局部污染</x:v>
      </x:c>
      <x:c r="C112" s="37" t="str">
        <x:v>五物局部污染/N02耄耋</x:v>
      </x:c>
      <x:c r="D112" s="37" t="str">
        <x:v>nm_v2_poll_n02_argument</x:v>
      </x:c>
      <x:c r="E112" s="37" t="str">
        <x:v>耄耋争吵评论与情绪标签母版</x:v>
      </x:c>
      <x:c r="F112" s="37" t="str">
        <x:v>暖灰、脏粉与少量异常红#FF5B6E；尖角气泡、短促插入的情绪标签，表现爆炸性发言和争吵感。仅两张空形状，不含脏话、攻击对象、现实用户头像或感叹号文字。仅局部装饰覆盖层，禁止创建按钮命中区；DOM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</x:v>
      </x:c>
      <x:c r="G112" s="37" t="str">
        <x:v>耄耋的暖灰脏粉、情绪性爆发气质；对应尖锐争吵气泡与短促斜标签，不含实际用户或攻击性文字。</x:v>
      </x:c>
      <x:c r="H112" s="43" t="n">
        <x:f>COUNTIF('逐张提示词'!$B$8:$B$314,A112)</x:f>
        <x:v>2</x:v>
      </x:c>
      <x:c r="I112" s="37" t="str">
        <x:v>覆盖层</x:v>
      </x:c>
      <x:c r="J112" s="37" t="str">
        <x:v>N02 BREACHED/攻击前摇与命中</x:v>
      </x:c>
      <x:c r="K112" s="37" t="str">
        <x:v>每张1024×512 px；气泡内空白</x:v>
      </x:c>
      <x:c r="L112" s="37" t="str">
        <x:v>一单元一张透明PNG（RGBA）；图形完整，四周保留透明安全边；先单张关键图，后处理统一边距与尺寸，不要求模型直接导出SVG、PSD分层、动画或sprite sheet。</x:v>
      </x:c>
      <x:c r="M112" s="37" t="str">
        <x:v>气泡尖尾/标签中心，按N02局部锚点</x:v>
      </x:c>
      <x:c r="N112" s="37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112" s="37" t="str">
        <x:v>仅N02真实失效；前摇可出现小气泡，实际HIT阶段可叠情绪标签，取消前摇不能播放完整命中演出。</x:v>
      </x:c>
      <x:c r="P112" s="37" t="str">
        <x:v>新增N02局部覆盖层；不增加嘲讽、辱骂判定、情绪值或攻击频率。</x:v>
      </x:c>
      <x:c r="Q112" s="37" t="str">
        <x:v>浅深底透明合成都干净；可在1280×720读清基础信息；建议单次0.6–1.2模拟秒、每活跃房间同时2–4片、局部覆盖≤15%，均为建议待调。退出BREACHED后清除或短淡出，暂停相位冻结。 尖角与色彩标识不能遮盖真实前摇范围、员工受击和退路。</x:v>
      </x:c>
      <x:c r="R112" s="37" t="str">
        <x:v>待生成／待接入</x:v>
      </x:c>
      <x:c r="S112" s="37" t="str"/>
    </x:row>
    <x:row r="113" ht="86.25" customHeight="1">
      <x:c r="A113" s="38" t="str">
        <x:v>NM_V2_POLL_N03</x:v>
      </x:c>
      <x:c r="B113" s="38" t="str">
        <x:v>P1局部污染</x:v>
      </x:c>
      <x:c r="C113" s="38" t="str">
        <x:v>五物局部污染/N03大狗</x:v>
      </x:c>
      <x:c r="D113" s="38" t="str">
        <x:v>nm_v2_poll_n03_live</x:v>
      </x:c>
      <x:c r="E113" s="38" t="str">
        <x:v>大狗直播角标与应援爱心</x:v>
      </x:c>
      <x:c r="F113" s="38" t="str">
        <x:v>红橙#FF8A3D、粉红#FF4FA3与打call白；一个直播式空角标底座、一颗简化应援爱心，轮廓轻快，表现围观与应援涌入。角标可有纯图形摄像机轮廓但不含LIVE/直播中/观看数；不增加真实直播功能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</x:v>
      </x:c>
      <x:c r="G113" s="38" t="str">
        <x:v>大狗的红橙粉白、热闹直播应援气质；对应直播式角标和单颗爱心，声浪与围观感强但无真实平台标识。</x:v>
      </x:c>
      <x:c r="H113" s="44" t="n">
        <x:f>COUNTIF('逐张提示词'!$B$8:$B$314,A113)</x:f>
        <x:v>2</x:v>
      </x:c>
      <x:c r="I113" s="38" t="str">
        <x:v>覆盖层</x:v>
      </x:c>
      <x:c r="J113" s="38" t="str">
        <x:v>N03 BREACHED/APPROACH_AND_AOE真实嚎叫阶段</x:v>
      </x:c>
      <x:c r="K113" s="38" t="str">
        <x:v>角标1024×512 px；爱心512×512 px，分别独立导出</x:v>
      </x:c>
      <x:c r="L113" s="38" t="str">
        <x:v>一单元一张透明PNG（RGBA）；图形完整，四周保留透明安全边；先单张关键图，后处理统一边距与尺寸，不要求模型直接导出SVG、PSD分层、动画或sprite sheet。</x:v>
      </x:c>
      <x:c r="M113" s="38" t="str">
        <x:v>角标左上(0,0)；爱心中心(0.5,0.5)</x:v>
      </x:c>
      <x:c r="N113" s="38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113" s="38" t="str">
        <x:v>真实N03失效时角标局部显示；爱心脉冲在既有嚎叫HIT阶段触发，WINDUP只作克制提示；联动额外嚎叫仍依真实事件。</x:v>
      </x:c>
      <x:c r="P113" s="38" t="str">
        <x:v>新增N03污染视觉；声波精确范围继续程序绘制；推荐卡复用N01空框换色，无需再生成一套。</x:v>
      </x:c>
      <x:c r="Q113" s="38" t="str">
        <x:v>浅深底透明合成都干净；可在1280×720读清基础信息；建议单次0.6–1.2模拟秒、每活跃房间同时2–4片、局部覆盖≤15%，均为建议待调。退出BREACHED后清除或短淡出，暂停相位冻结。 爱心不等于治疗HP；不画虚假观看数/打赏收入，不表现新增收益。前摇躲避区始终清楚。</x:v>
      </x:c>
      <x:c r="R113" s="38" t="str">
        <x:v>待生成／待接入</x:v>
      </x:c>
      <x:c r="S113" s="38" t="str"/>
    </x:row>
    <x:row r="114" ht="100.5" customHeight="1">
      <x:c r="A114" s="37" t="str">
        <x:v>NM_V2_POLL_N04</x:v>
      </x:c>
      <x:c r="B114" s="37" t="str">
        <x:v>P1局部污染</x:v>
      </x:c>
      <x:c r="C114" s="37" t="str">
        <x:v>五物局部污染/N04叮咚鸡</x:v>
      </x:c>
      <x:c r="D114" s="37" t="str">
        <x:v>nm_v2_poll_n04_notification</x:v>
      </x:c>
      <x:c r="E114" s="37" t="str">
        <x:v>叮咚鸡通知与波形播报空框</x:v>
      </x:c>
      <x:c r="F114" s="37" t="str">
        <x:v>明黄#FFD84D、橙黄与提示红；一条无字系统通知条、一张音轨播报空框。可含简化铃铛或喇叭图形；波形区域与播放轨道保持空白，播放头/循环符号/文字由程序。强调强提醒与循环播报，保留常态控制台可操作性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</x:v>
      </x:c>
      <x:c r="G114" s="37" t="str">
        <x:v>叮咚鸡的明黄橙黄、通知与广播气质；对应铃铛通知条和波形播报空框，无现成音频曲线与播放读数。</x:v>
      </x:c>
      <x:c r="H114" s="43" t="n">
        <x:f>COUNTIF('逐张提示词'!$B$8:$B$314,A114)</x:f>
        <x:v>2</x:v>
      </x:c>
      <x:c r="I114" s="37" t="str">
        <x:v>覆盖层</x:v>
      </x:c>
      <x:c r="J114" s="37" t="str">
        <x:v>N04 BREACHED/STATIONARY_BROADCAST真实播报</x:v>
      </x:c>
      <x:c r="K114" s="37" t="str">
        <x:v>通知条1024×256 px；播报框1024×512 px</x:v>
      </x:c>
      <x:c r="L114" s="37" t="str">
        <x:v>一单元一张透明PNG（RGBA）；图形完整，四周保留透明安全边；先单张关键图，后处理统一边距与尺寸，不要求模型直接导出SVG、PSD分层、动画或sprite sheet。</x:v>
      </x:c>
      <x:c r="M114" s="37" t="str">
        <x:v>左侧进入点/框左上(0,0)</x:v>
      </x:c>
      <x:c r="N114" s="37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114" s="37" t="str">
        <x:v>N04真实失效期间；通知插入和波形相位按真实广播前摇/命中及simulationTimeSec；不假设音频频谱输入。</x:v>
      </x:c>
      <x:c r="P114" s="37" t="str">
        <x:v>新增N04覆盖层；不会给其他房间添加污染状态，N04→N03联动只有已存在L01；安全室排除规则不变。</x:v>
      </x:c>
      <x:c r="Q114" s="37" t="str">
        <x:v>浅深底透明合成都干净；可在1280×720读清基础信息；建议单次0.6–1.2模拟秒、每活跃房间同时2–4片、局部覆盖≤15%，均为建议待调。退出BREACHED后清除或短淡出，暂停相位冻结。 音轨框不能伪装可点击播放器；播放进度仅映射已存在攻击相位，不表示新增音频服务或播放业务。</x:v>
      </x:c>
      <x:c r="R114" s="37" t="str">
        <x:v>待生成／待接入</x:v>
      </x:c>
      <x:c r="S114" s="37" t="str"/>
    </x:row>
    <x:row r="115" ht="86.25" customHeight="1">
      <x:c r="A115" s="38" t="str">
        <x:v>NM_V2_POLL_N05</x:v>
      </x:c>
      <x:c r="B115" s="38" t="str">
        <x:v>P1局部污染</x:v>
      </x:c>
      <x:c r="C115" s="38" t="str">
        <x:v>五物局部污染/N05咕咕嘎嘎</x:v>
      </x:c>
      <x:c r="D115" s="38" t="str">
        <x:v>nm_v2_poll_n05_soft_noise</x:v>
      </x:c>
      <x:c r="E115" s="38" t="str">
        <x:v>咕咕嘎嘎软拟声框与杂讯片</x:v>
      </x:c>
      <x:c r="F115" s="38" t="str">
        <x:v>浅蓝#4EDBFF降低饱和度配粉白；一张软弹云状拟声空框，一小片不规则软色压缩杂讯。母题幼态、哭闹与情绪溢出，柔软但重复不安；不能转为尖牙鬼脸或整屏故障。仅局部装饰覆盖层，禁止创建按钮命中区；DOM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</x:v>
      </x:c>
      <x:c r="G115" s="38" t="str">
        <x:v>咕咕嘎嘎的浅蓝粉白、婴幼儿软噪声气质；对应云状软弹拟声空框及圆角杂讯块，保持柔软而重复不安。</x:v>
      </x:c>
      <x:c r="H115" s="44" t="n">
        <x:f>COUNTIF('逐张提示词'!$B$8:$B$314,A115)</x:f>
        <x:v>2</x:v>
      </x:c>
      <x:c r="I115" s="38" t="str">
        <x:v>覆盖层</x:v>
      </x:c>
      <x:c r="J115" s="38" t="str">
        <x:v>N05 BREACHED/PATROL_AOE真实哭闹阶段</x:v>
      </x:c>
      <x:c r="K115" s="38" t="str">
        <x:v>气泡1024×512 px；杂讯片512×512 px</x:v>
      </x:c>
      <x:c r="L115" s="38" t="str">
        <x:v>一单元一张透明PNG（RGBA）；图形完整，四周保留透明安全边；先单张关键图，后处理统一边距与尺寸，不要求模型直接导出SVG、PSD分层、动画或sprite sheet。</x:v>
      </x:c>
      <x:c r="M115" s="38" t="str">
        <x:v>气泡尾端/杂讯中心，局部房间或敌人附近</x:v>
      </x:c>
      <x:c r="N115" s="38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115" s="38" t="str">
        <x:v>只在N05实际失效及真实攻击阶段局部触发；强度可依据现有phase而非新增安抚值，平静房间不持续刷屏。</x:v>
      </x:c>
      <x:c r="P115" s="38" t="str">
        <x:v>新增N05覆盖层；拟声短语程序生成；情绪波纹/精确伤害范围程序绘制；N05残影仍复用本体sprite。</x:v>
      </x:c>
      <x:c r="Q115" s="38" t="str">
        <x:v>浅深底透明合成都干净；可在1280×720读清基础信息；建议单次0.6–1.2模拟秒、每活跃房间同时2–4片、局部覆盖≤15%，均为建议待调。退出BREACHED后清除或短淡出，暂停相位冻结。 不把软杂讯画成可供移动的房间或独立敌人；没有虚构情绪安抚仪表。</x:v>
      </x:c>
      <x:c r="R115" s="38" t="str">
        <x:v>待生成／待接入</x:v>
      </x:c>
      <x:c r="S115" s="38" t="str"/>
    </x:row>
    <x:row r="116" ht="114.75" customHeight="1">
      <x:c r="A116" s="37" t="str">
        <x:v>NMV2_STA_014</x:v>
      </x:c>
      <x:c r="B116" s="37" t="str">
        <x:v>P2扩展演出</x:v>
      </x:c>
      <x:c r="C116" s="37" t="str">
        <x:v>员工</x:v>
      </x:c>
      <x:c r="D116" s="37" t="str">
        <x:v>nm_v2_agent_skill_response_reference</x:v>
      </x:c>
      <x:c r="E116" s="37" t="str">
        <x:v>管理者技能成功后的员工响应参考</x:v>
      </x:c>
      <x:c r="F116" s="37" t="str">
        <x:v>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仅作P2可选演出参考；现有技能由管理者点选目标，员工不是新增施法单位。 动作参考PNG仅指导后续分件动画，不是sprite帧、不是已经接入的动作；实际动画仍依赖pose.time/stride和真实状态，暂停时全部冻结。</x:v>
      </x:c>
      <x:c r="G116" s="37" t="str">
        <x:v>现代机构员工在腕部/手持终端确认管理者技能反馈的单一短动作；仅表现响应，不做施法者、牧师或医生治疗姿势。</x:v>
      </x:c>
      <x:c r="H116" s="43" t="n">
        <x:f>COUNTIF('逐张提示词'!$B$8:$B$314,A116)</x:f>
        <x:v>1</x:v>
      </x:c>
      <x:c r="I116" s="37" t="str">
        <x:v>动作参考</x:v>
      </x:c>
      <x:c r="J116" s="37" t="str">
        <x:v>呈现参考 / 现有CAST_SKILL成功事件</x:v>
      </x:c>
      <x:c r="K116" s="37" t="str">
        <x:v>1024×1024 px / 每张</x:v>
      </x:c>
      <x:c r="L116" s="37" t="str">
        <x:v>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M116" s="37" t="str">
        <x:v>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</x:v>
      </x:c>
      <x:c r="N116" s="37" t="str">
        <x:v>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O116" s="37" t="str">
        <x:v>只有现有CAST_SKILL成功事件可作为演出来源；不新增CASTING状态、施法者职业或职业技能；未接入时不加载该参考。</x:v>
      </x:c>
      <x:c r="P116" s="37" t="str">
        <x:v>旧动作参考按新的现代比例重画，合并重复呼吸/回正参考。不得将PNG数量当作已完成帧数或自动新增业务状态。</x:v>
      </x:c>
      <x:c r="Q116" s="37" t="str">
        <x:v>缩至场内约66px高仍能辨认脸、手、足与姿态；肩肘膝连接无缝，脸不被发片/领口遮住；同角色朝左/右镜像不露断口；选中圈、HP/SP条由程序绘制并保持可见。 同一员工、朝向和地面线，单图只有一个完整姿势；动作幅度不暗示跳跃、传送、超速或治疗能力。</x:v>
      </x:c>
      <x:c r="R116" s="37" t="str">
        <x:v>待生成／待接入</x:v>
      </x:c>
      <x:c r="S116" s="37" t="str"/>
    </x:row>
    <x:row r="117" ht="114.75" customHeight="1">
      <x:c r="A117" s="38" t="str">
        <x:v>ENV_V2_034</x:v>
      </x:c>
      <x:c r="B117" s="38" t="str">
        <x:v>P2扩展演出</x:v>
      </x:c>
      <x:c r="C117" s="38" t="str">
        <x:v>扩展演出载体</x:v>
      </x:c>
      <x:c r="D117" s="38" t="str">
        <x:v>nm_v2_env_linked_surface_fragments</x:v>
      </x:c>
      <x:c r="E117" s="38" t="str">
        <x:v>联动扩展用局部边缘碎片</x:v>
      </x:c>
      <x:c r="F117" s="38" t="str">
        <x:v>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仅备选扩展演出素材：一条低覆盖度短线缆数据错位贴层，一块玻璃角部像素裂片。色彩采用少量冷青/亮紫，低密度透明，不能画出实际电流伤害、物理裂缝或通路断开。提供单一静态图层，由显示层短时变换；不要求一次生成序列帧。</x:v>
      </x:c>
      <x:c r="G117" s="38" t="str">
        <x:v>设备玻璃边缘的低覆盖度像素错位投影、封闭服务线上的短数据光痕；参考局部透明附着结构，不画实际破损、电流攻击或整层传播画面。只参考结构，按本版色板绘制为二维正交侧视素材，不照搬对象的原配色、品牌或文字。</x:v>
      </x:c>
      <x:c r="H117" s="44" t="n">
        <x:f>COUNTIF('逐张提示词'!$B$8:$B$314,A117)</x:f>
        <x:v>2</x:v>
      </x:c>
      <x:c r="I117" s="38" t="str">
        <x:v>覆盖层</x:v>
      </x:c>
      <x:c r="J117" s="38" t="str">
        <x:v>可选联动演出素材（未接入）</x:v>
      </x:c>
      <x:c r="K117" s="38" t="str">
        <x:v>conduit_trace=1024×256 px；glass_corner=1024×768 px。</x:v>
      </x:c>
      <x:c r="L117" s="38" t="str">
        <x:v>RGBA透明PNG，sRGB，8bit；一unit一文件；文件名=name+'_'+suffix+'.png'。</x:v>
      </x:c>
      <x:c r="M117" s="38" t="str">
        <x:v>管线贴层左端中轴；玻璃角部贴层左上。</x:v>
      </x:c>
      <x:c r="N117" s="38" t="str">
        <x:v>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O117" s="38" t="str">
        <x:v>仅规划；暂无自动触发。不得以不存在的污染等级触发。接入时从现有联动事件只读获取演出信号，按模拟时间短时播放并受暂停控制，不改变攻击/产能/状态结算。</x:v>
      </x:c>
      <x:c r="P117" s="38" t="str">
        <x:v>新增P2规划，默认关闭、未接入。后续仅可由已存在的联动事件或明确既有状态驱动短时装饰；不能假定有污染扩散等级、传播网络、整层占领或新增技能。须单独确认演出触发与显示时长后实现。</x:v>
      </x:c>
      <x:c r="Q117" s="38" t="str">
        <x:v>逐unit单PNG、命名唯一、透明层无白边黑边；按原锚点装配后不侵入实际通路、侧门开口或梯井，不盖员工与异常、房间编号/状态和生命精神信息。文字、状态数值与动画由运行时另绘；常态纹理不能伪装失效或新增可交互功能。至少85%画布透明；仅局部服务线/玻璃角落，不能升级为全屏长期遮挡；无P2资产也必须能完整游玩。</x:v>
      </x:c>
      <x:c r="R117" s="38" t="str">
        <x:v>待生成／待接入</x:v>
      </x:c>
      <x:c r="S117" s="38" t="str"/>
    </x:row>
    <x:row r="118" ht="86.25" customHeight="1">
      <x:c r="A118" s="37" t="str">
        <x:v>NM_V2_P2_001</x:v>
      </x:c>
      <x:c r="B118" s="37" t="str">
        <x:v>P2扩展演出</x:v>
      </x:c>
      <x:c r="C118" s="37" t="str">
        <x:v>扩展演出/共享标签插入</x:v>
      </x:c>
      <x:c r="D118" s="37" t="str">
        <x:v>nm_v2_show_topic_tag</x:v>
      </x:c>
      <x:c r="E118" s="37" t="str">
        <x:v>共享无字话题插入片</x:v>
      </x:c>
      <x:c r="F118" s="37" t="str">
        <x:v>一条现代内容平台式无字标签边片，冷白中性底配少量可着色细边；从局部视口边缘插入后散去。只交一个复用母版，可按五物着色；不带排名、热度、趋势箭头、真实榜单或平台logo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</x:v>
      </x:c>
      <x:c r="G118" s="37" t="str">
        <x:v>内容平台中短时插入的无字话题标签；仅借用窄条插入形态，不借用真实热搜榜单或排名。</x:v>
      </x:c>
      <x:c r="H118" s="43" t="n">
        <x:f>COUNTIF('逐张提示词'!$B$8:$B$314,A118)</x:f>
        <x:v>1</x:v>
      </x:c>
      <x:c r="I118" s="37" t="str">
        <x:v>覆盖层</x:v>
      </x:c>
      <x:c r="J118" s="37" t="str">
        <x:v>真实失效或既有技能/联动命中后的可选强调</x:v>
      </x:c>
      <x:c r="K118" s="37" t="str">
        <x:v>1024×256 px；窄片段</x:v>
      </x:c>
      <x:c r="L118" s="37" t="str">
        <x:v>一单元一张透明PNG（RGBA）；图形完整，四周保留透明安全边；先单张关键图，后处理统一边距与尺寸，不要求模型直接导出SVG、PSD分层、动画或sprite sheet。</x:v>
      </x:c>
      <x:c r="M118" s="37" t="str">
        <x:v>左侧滑入锚点(0,0.5)</x:v>
      </x:c>
      <x:c r="N118" s="37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118" s="37" t="str">
        <x:v>未来仅在真实BREACH_ENTER、已确认技能命中或现有L01联动事件触发一次；当前尚未实现的新演出规划。</x:v>
      </x:c>
      <x:c r="P118" s="37" t="str">
        <x:v>新增可选视觉片段，默认先完成P0/P1再考虑；不得新增传播网络、榜单、热度资源或污染层级数据。</x:v>
      </x:c>
      <x:c r="Q118" s="37" t="str">
        <x:v>建议单次0.3–0.6模拟秒、只占当前关联房间边缘，不跨HUD保护区，均为待调建议。无真实事件不播放；不要求追加玩法验收。</x:v>
      </x:c>
      <x:c r="R118" s="37" t="str">
        <x:v>待生成／待接入</x:v>
      </x:c>
      <x:c r="S118" s="37" t="str"/>
    </x:row>
    <x:row r="119" ht="86.25" customHeight="1">
      <x:c r="A119" s="38" t="str">
        <x:v>NM_V2_P2_002</x:v>
      </x:c>
      <x:c r="B119" s="38" t="str">
        <x:v>P2扩展演出</x:v>
      </x:c>
      <x:c r="C119" s="38" t="str">
        <x:v>扩展演出/共享视频压缩插入</x:v>
      </x:c>
      <x:c r="D119" s="38" t="str">
        <x:v>nm_v2_show_compression_shard</x:v>
      </x:c>
      <x:c r="E119" s="38" t="str">
        <x:v>共享压缩故障演出片</x:v>
      </x:c>
      <x:c r="F119" s="38" t="str">
        <x:v>一张疏朗矩形压缩块关键图，局部RGB错位、少量冷白切片，单个独立片段；可裁切/镜像/缩放复用，不能画全屏故障贴图或角色拖影。表现平台信号挤入现实的插入感，不承担攻击效果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</x:v>
      </x:c>
      <x:c r="G119" s="38" t="str">
        <x:v>视频局部压缩错误的疏朗矩形片段；少量RGB错位与冷白切片，透明占优，不遮蔽主体。</x:v>
      </x:c>
      <x:c r="H119" s="44" t="n">
        <x:f>COUNTIF('逐张提示词'!$B$8:$B$314,A119)</x:f>
        <x:v>1</x:v>
      </x:c>
      <x:c r="I119" s="38" t="str">
        <x:v>VFX关键图</x:v>
      </x:c>
      <x:c r="J119" s="38" t="str">
        <x:v>既有多事故/技能/联动的可选短片段演出</x:v>
      </x:c>
      <x:c r="K119" s="38" t="str">
        <x:v>1024×512 px；至少70%透明</x:v>
      </x:c>
      <x:c r="L119" s="38" t="str">
        <x:v>一单元一张透明PNG（RGBA）；图形完整，四周保留透明安全边；先单张关键图，后处理统一边距与尺寸，不要求模型直接导出SVG、PSD分层、动画或sprite sheet。</x:v>
      </x:c>
      <x:c r="M119" s="38" t="str">
        <x:v>局部事件中心(0.5,0.5)</x:v>
      </x:c>
      <x:c r="N119" s="38" t="str">
        <x:v>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O119" s="38" t="str">
        <x:v>仅未来绑定真实事件的短演出：实际多室BREACHED可增加少量局部实例，L01或技能仅在实际生效后触发；不是传播路径或新升级机制。</x:v>
      </x:c>
      <x:c r="P119" s="38" t="str">
        <x:v>新P2候选；N04/N05字幕拖影与残影复用程序，避免再生成多套重复png；默认关闭直到可读性验证。</x:v>
      </x:c>
      <x:c r="Q119" s="38" t="str">
        <x:v>建议0.2–0.5模拟秒且无全屏抖动、全屏闪白；同屏事件优先合并/限量，具体数量与不透明度建议待调；按钮点击与精确提示无损。</x:v>
      </x:c>
      <x:c r="R119" s="38" t="str">
        <x:v>待生成／待接入</x:v>
      </x:c>
      <x:c r="S119" s="38" t="str"/>
    </x:row>
    <x:row r="120" ht="19.5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</x:row>
    <x:row r="121" ht="19.5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</x:row>
  </x:sheetData>
  <x:conditionalFormatting sqref="B8:B119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d2764d2f36fc4c95"/>
  </x:tableParts>
</x:worksheet>
</file>

<file path=xl/worksheets/sheet2.xml><?xml version="1.0" encoding="utf-8"?>
<x:worksheet xmlns:x="http://schemas.openxmlformats.org/spreadsheetml/2006/main">
  <x:sheetPr>
    <x:tabColor rgb="FF237BA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42.5" hidden="0" customWidth="1"/>
    <x:col min="2" max="2" width="15" hidden="0" customWidth="1"/>
    <x:col min="3" max="3" width="25" hidden="0" customWidth="1"/>
    <x:col min="4" max="4" width="147.5" hidden="0" customWidth="1"/>
    <x:col min="5" max="5" width="60" hidden="0" customWidth="1"/>
    <x:col min="6" max="6" width="41.25" hidden="0" customWidth="1"/>
    <x:col min="7" max="7" width="13.75" hidden="0" customWidth="1"/>
    <x:col min="8" max="8" width="21.25" hidden="0" customWidth="1"/>
    <x:col min="9" max="9" width="32.5" hidden="0" customWidth="1"/>
    <x:col min="10" max="10" width="37.5" hidden="0" customWidth="1"/>
    <x:col min="11" max="11" width="15" hidden="0" customWidth="1"/>
    <x:col min="12" max="12" width="21.25" hidden="0" customWidth="1"/>
  </x:cols>
  <x:sheetData>
    <x:row r="1" ht="19.5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7" t="str">
        <x:v>逐张提示词｜一行一张 PNG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2.5" customHeight="1">
      <x:c r="A3" s="9" t="str">
        <x:v>D 列已合并统一风格、单张范围、规格、参考与禁止项；不要一次要求模型生成整组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 ht="21.75" customHeight="1">
      <x:c r="A4" s="40" t="str">
        <x:f>"共 "&amp;COUNTA(B8:B314)&amp;" 张 · 游戏拆件/贴图 "&amp;COUNTIF(H8:H314,"游戏拆件／贴图")&amp;" 张 · 定稿/动作参考 "&amp;COUNTIF(H8:H314,"定稿／动作参考")&amp;" 张"</x:f>
        <x:v>共 307 张 · 游戏拆件/贴图 241 张 · 定稿/动作参考 66 张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 ht="21.75" customHeight="1">
      <x:c r="A5" s="39" t="str">
        <x:v>先出同对象定稿，批准后附上定稿生成拆件。尺寸修正、去底、分层、轴点和实际动画由后处理与程序接入完成。</x:v>
      </x:c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</x:row>
    <x:row r="6" ht="19.5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28.5" customHeight="1">
      <x:c r="A7" s="13" t="str">
        <x:v>单张文件名</x:v>
      </x:c>
      <x:c r="B7" s="13" t="str">
        <x:v>需求ID</x:v>
      </x:c>
      <x:c r="C7" s="13" t="str">
        <x:v>本张对象</x:v>
      </x:c>
      <x:c r="D7" s="13" t="str">
        <x:v>完整生成提示词｜复制本列</x:v>
      </x:c>
      <x:c r="E7" s="13" t="str">
        <x:v>本张限定范围｜可修改</x:v>
      </x:c>
      <x:c r="F7" s="13" t="str">
        <x:v>素材参考对象</x:v>
      </x:c>
      <x:c r="G7" s="13" t="str">
        <x:v>优先级</x:v>
      </x:c>
      <x:c r="H7" s="13" t="str">
        <x:v>交付用途</x:v>
      </x:c>
      <x:c r="I7" s="13" t="str">
        <x:v>建议画布／格式</x:v>
      </x:c>
      <x:c r="J7" s="13" t="str">
        <x:v>交付目录（建议）</x:v>
      </x:c>
      <x:c r="K7" s="13" t="str">
        <x:v>制作状态</x:v>
      </x:c>
      <x:c r="L7" s="13" t="str">
        <x:v>文件后缀</x:v>
      </x:c>
    </x:row>
    <x:row r="8" ht="314.25" customHeight="1">
      <x:c r="A8" s="37" t="str">
        <x:f>INDEX('素材需求'!$D$8:$D$119,MATCH(B8,'素材需求'!$A$8:$A$119,0))&amp;IF(L8="","","_"&amp;L8)&amp;".png"</x:f>
        <x:v>nm_v2_agent_base_identity_approved.png</x:v>
      </x:c>
      <x:c r="B8" s="37" t="str">
        <x:v>NMV2_STA_001</x:v>
      </x:c>
      <x:c r="C8" s="37" t="str">
        <x:v>员工基型</x:v>
      </x:c>
      <x:c r="D8" s="37" t="str">
        <x:f>"【交付文件】"&amp;A8&amp;CHAR(10)&amp;"【本张任务】"&amp;C8&amp;CHAR(10)&amp;'生成规范'!$B$8&amp;CHAR(10)&amp;"【单张范围】"&amp;E8&amp;CHAR(10)&amp;"【本组造型约束】"&amp;INDEX('素材需求'!$F$8:$F$119,MATCH(B8,'素材需求'!$A$8:$A$119,0))&amp;CHAR(10)&amp;"【参考对象】"&amp;F8&amp;CHAR(10)&amp;"【制作规格】"&amp;I8&amp;"；"&amp;INDEX('素材需求'!$M$8:$M$119,MATCH(B8,'素材需求'!$A$8:$A$119,0))&amp;CHAR(10)&amp;"【颜色】"&amp;'生成规范'!$B$10&amp;"；"&amp;'生成规范'!$B$11&amp;CHAR(10)&amp;"【输出规则】"&amp;'生成规范'!$B$12&amp;" 后处理对齐尺寸与轴点；交付用途："&amp;H8&amp;CHAR(10)&amp;"【禁止项】"&amp;'生成规范'!$B$9&amp;"；"&amp;INDEX('素材需求'!$N$8:$N$119,MATCH(B8,'素材需求'!$A$8:$A$119,0))</x:f>
        <x:v>【交付文件】nm_v2_agent_base_identity_approved.png
【本张任务】员工基型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位完整、朝右站立的现代研究机构员工，约2.75头身，放松待机、双脚着地；蓝灰短制服、冷白内搭，不带专属装备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穿短款蓝灰现代机构制服、冷白内搭、小型无字工牌和轻便防滑鞋；手持物留空，E01短发用于比例示意。
【参考对象】现代数字研究中心的轻便蓝灰短制服、冷白内搭、无字工牌和防滑鞋；约2.75头身，头手脚清晰，自然站姿、专业又可亲。以新附件5.3员工标准为准，旧图只核对挂点。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8" s="37" t="str">
        <x:v>只画本张：一位完整、朝右站立的现代研究机构员工，约2.75头身，放松待机、双脚着地；蓝灰短制服、冷白内搭，不带专属装备；本张仅这一独立交付单元，不含其他零件、对照姿势、sheet、文字、背景或地面投影。</x:v>
      </x:c>
      <x:c r="F8" s="37" t="str">
        <x:f>INDEX('素材需求'!$G$8:$G$119,MATCH(B8,'素材需求'!$A$8:$A$119,0))</x:f>
        <x:v>现代数字研究中心的轻便蓝灰短制服、冷白内搭、无字工牌和防滑鞋；约2.75头身，头手脚清晰，自然站姿、专业又可亲。以新附件5.3员工标准为准，旧图只核对挂点。</x:v>
      </x:c>
      <x:c r="G8" s="37" t="str">
        <x:f>INDEX('素材需求'!$B$8:$B$119,MATCH(B8,'素材需求'!$A$8:$A$119,0))</x:f>
        <x:v>P0常态</x:v>
      </x:c>
      <x:c r="H8" s="37" t="str">
        <x:v>定稿／动作参考</x:v>
      </x:c>
      <x:c r="I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8" s="37" t="str">
        <x:v>art_delivery/nm_v2/references/</x:v>
      </x:c>
      <x:c r="K8" s="45" t="str">
        <x:v>待生成</x:v>
      </x:c>
      <x:c r="L8" s="37" t="str">
        <x:v>approved</x:v>
      </x:c>
    </x:row>
    <x:row r="9" ht="314.25" customHeight="1">
      <x:c r="A9" s="38" t="str">
        <x:f>INDEX('素材需求'!$D$8:$D$119,MATCH(B9,'素材需求'!$A$8:$A$119,0))&amp;IF(L9="","","_"&amp;L9)&amp;".png"</x:f>
        <x:v>nm_v2_agent_base_parts_head.png</x:v>
      </x:c>
      <x:c r="B9" s="38" t="str">
        <x:v>NMV2_STA_002</x:v>
      </x:c>
      <x:c r="C9" s="38" t="str">
        <x:v>无发无表情头</x:v>
      </x:c>
      <x:c r="D9" s="38" t="str">
        <x:f>"【交付文件】"&amp;A9&amp;CHAR(10)&amp;"【本张任务】"&amp;C9&amp;CHAR(10)&amp;'生成规范'!$B$8&amp;CHAR(10)&amp;"【单张范围】"&amp;E9&amp;CHAR(10)&amp;"【本组造型约束】"&amp;INDEX('素材需求'!$F$8:$F$119,MATCH(B9,'素材需求'!$A$8:$A$119,0))&amp;CHAR(10)&amp;"【参考对象】"&amp;F9&amp;CHAR(10)&amp;"【制作规格】"&amp;I9&amp;"；"&amp;INDEX('素材需求'!$M$8:$M$119,MATCH(B9,'素材需求'!$A$8:$A$119,0))&amp;CHAR(10)&amp;"【颜色】"&amp;'生成规范'!$B$10&amp;"；"&amp;'生成规范'!$B$11&amp;CHAR(10)&amp;"【输出规则】"&amp;'生成规范'!$B$12&amp;" 后处理对齐尺寸与轴点；交付用途："&amp;H9&amp;CHAR(10)&amp;"【禁止项】"&amp;'生成规范'!$B$9&amp;"；"&amp;INDEX('素材需求'!$N$8:$N$119,MATCH(B9,'素材需求'!$A$8:$A$119,0))</x:f>
        <x:v>【交付文件】nm_v2_agent_base_parts_head.png
【本张任务】无发无表情头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【单张范围】只画本张：共用员工完整头颅，含耳和短颈连接余量，肤色自然，头顶补齐；无头发、眉眼鼻嘴、身体；本张仅这一独立交付单元，不含其他零件、对照姿势、sheet、文字、背景或地面投影。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9" s="38" t="str">
        <x:v>只画本张：共用员工完整头颅，含耳和短颈连接余量，肤色自然，头顶补齐；无头发、眉眼鼻嘴、身体；本张仅这一独立交付单元，不含其他零件、对照姿势、sheet、文字、背景或地面投影。</x:v>
      </x:c>
      <x:c r="F9" s="38" t="str">
        <x:f>INDEX('素材需求'!$G$8:$G$119,MATCH(B9,'素材需求'!$A$8:$A$119,0))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9" s="38" t="str">
        <x:f>INDEX('素材需求'!$B$8:$B$119,MATCH(B9,'素材需求'!$A$8:$A$119,0))</x:f>
        <x:v>P0常态</x:v>
      </x:c>
      <x:c r="H9" s="38" t="str">
        <x:v>游戏拆件／贴图</x:v>
      </x:c>
      <x:c r="I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9" s="38" t="str">
        <x:v>art_delivery/nm_v2/characters/</x:v>
      </x:c>
      <x:c r="K9" s="45" t="str">
        <x:v>待生成</x:v>
      </x:c>
      <x:c r="L9" s="38" t="str">
        <x:v>head</x:v>
      </x:c>
    </x:row>
    <x:row r="10" ht="314.25" customHeight="1">
      <x:c r="A10" s="37" t="str">
        <x:f>INDEX('素材需求'!$D$8:$D$119,MATCH(B10,'素材需求'!$A$8:$A$119,0))&amp;IF(L10="","","_"&amp;L10)&amp;".png"</x:f>
        <x:v>nm_v2_agent_base_parts_torso.png</x:v>
      </x:c>
      <x:c r="B10" s="37" t="str">
        <x:v>NMV2_STA_002</x:v>
      </x:c>
      <x:c r="C10" s="37" t="str">
        <x:v>基础制服躯干</x:v>
      </x:c>
      <x:c r="D10" s="37" t="str">
        <x:f>"【交付文件】"&amp;A10&amp;CHAR(10)&amp;"【本张任务】"&amp;C10&amp;CHAR(10)&amp;'生成规范'!$B$8&amp;CHAR(10)&amp;"【单张范围】"&amp;E10&amp;CHAR(10)&amp;"【本组造型约束】"&amp;INDEX('素材需求'!$F$8:$F$119,MATCH(B10,'素材需求'!$A$8:$A$119,0))&amp;CHAR(10)&amp;"【参考对象】"&amp;F10&amp;CHAR(10)&amp;"【制作规格】"&amp;I10&amp;"；"&amp;INDEX('素材需求'!$M$8:$M$119,MATCH(B10,'素材需求'!$A$8:$A$119,0))&amp;CHAR(10)&amp;"【颜色】"&amp;'生成规范'!$B$10&amp;"；"&amp;'生成规范'!$B$11&amp;CHAR(10)&amp;"【输出规则】"&amp;'生成规范'!$B$12&amp;" 后处理对齐尺寸与轴点；交付用途："&amp;H10&amp;CHAR(10)&amp;"【禁止项】"&amp;'生成规范'!$B$9&amp;"；"&amp;INDEX('素材需求'!$N$8:$N$119,MATCH(B10,'素材需求'!$A$8:$A$119,0))</x:f>
        <x:v>【交付文件】nm_v2_agent_base_parts_torso.png
【本张任务】基础制服躯干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【单张范围】只画本张：蓝灰短款制服躯干、冷白内搭、无字工牌及简洁衣摆；仅肩根余量，无头、整条袖子、手臂或腿；本张仅这一独立交付单元，不含其他零件、对照姿势、sheet、文字、背景或地面投影。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0" s="37" t="str">
        <x:v>只画本张：蓝灰短款制服躯干、冷白内搭、无字工牌及简洁衣摆；仅肩根余量，无头、整条袖子、手臂或腿；本张仅这一独立交付单元，不含其他零件、对照姿势、sheet、文字、背景或地面投影。</x:v>
      </x:c>
      <x:c r="F10" s="37" t="str">
        <x:f>INDEX('素材需求'!$G$8:$G$119,MATCH(B10,'素材需求'!$A$8:$A$119,0))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10" s="37" t="str">
        <x:f>INDEX('素材需求'!$B$8:$B$119,MATCH(B10,'素材需求'!$A$8:$A$119,0))</x:f>
        <x:v>P0常态</x:v>
      </x:c>
      <x:c r="H10" s="37" t="str">
        <x:v>游戏拆件／贴图</x:v>
      </x:c>
      <x:c r="I1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0" s="37" t="str">
        <x:v>art_delivery/nm_v2/characters/</x:v>
      </x:c>
      <x:c r="K10" s="45" t="str">
        <x:v>待生成</x:v>
      </x:c>
      <x:c r="L10" s="37" t="str">
        <x:v>torso</x:v>
      </x:c>
    </x:row>
    <x:row r="11" ht="300" customHeight="1">
      <x:c r="A11" s="38" t="str">
        <x:f>INDEX('素材需求'!$D$8:$D$119,MATCH(B11,'素材需求'!$A$8:$A$119,0))&amp;IF(L11="","","_"&amp;L11)&amp;".png"</x:f>
        <x:v>nm_v2_agent_base_parts_upper_arm_left.png</x:v>
      </x:c>
      <x:c r="B11" s="38" t="str">
        <x:v>NMV2_STA_002</x:v>
      </x:c>
      <x:c r="C11" s="38" t="str">
        <x:v>左上臂</x:v>
      </x:c>
      <x:c r="D11" s="38" t="str">
        <x:f>"【交付文件】"&amp;A11&amp;CHAR(10)&amp;"【本张任务】"&amp;C11&amp;CHAR(10)&amp;'生成规范'!$B$8&amp;CHAR(10)&amp;"【单张范围】"&amp;E11&amp;CHAR(10)&amp;"【本组造型约束】"&amp;INDEX('素材需求'!$F$8:$F$119,MATCH(B11,'素材需求'!$A$8:$A$119,0))&amp;CHAR(10)&amp;"【参考对象】"&amp;F11&amp;CHAR(10)&amp;"【制作规格】"&amp;I11&amp;"；"&amp;INDEX('素材需求'!$M$8:$M$119,MATCH(B11,'素材需求'!$A$8:$A$119,0))&amp;CHAR(10)&amp;"【颜色】"&amp;'生成规范'!$B$10&amp;"；"&amp;'生成规范'!$B$11&amp;CHAR(10)&amp;"【输出规则】"&amp;'生成规范'!$B$12&amp;" 后处理对齐尺寸与轴点；交付用途："&amp;H11&amp;CHAR(10)&amp;"【禁止项】"&amp;'生成规范'!$B$9&amp;"；"&amp;INDEX('素材需求'!$N$8:$N$119,MATCH(B11,'素材需求'!$A$8:$A$119,0))</x:f>
        <x:v>【交付文件】nm_v2_agent_base_parts_upper_arm_left.png
【本张任务】左上臂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【单张范围】只画本张：左远侧蓝灰短制服袖，上端肩根下端肘关节；仅上臂段，无前臂、手、躯干；本张仅这一独立交付单元，不含其他零件、对照姿势、sheet、文字、背景或地面投影。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1" s="38" t="str">
        <x:v>只画本张：左远侧蓝灰短制服袖，上端肩根下端肘关节；仅上臂段，无前臂、手、躯干；本张仅这一独立交付单元，不含其他零件、对照姿势、sheet、文字、背景或地面投影。</x:v>
      </x:c>
      <x:c r="F11" s="38" t="str">
        <x:f>INDEX('素材需求'!$G$8:$G$119,MATCH(B11,'素材需求'!$A$8:$A$119,0))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11" s="38" t="str">
        <x:f>INDEX('素材需求'!$B$8:$B$119,MATCH(B11,'素材需求'!$A$8:$A$119,0))</x:f>
        <x:v>P0常态</x:v>
      </x:c>
      <x:c r="H11" s="38" t="str">
        <x:v>游戏拆件／贴图</x:v>
      </x:c>
      <x:c r="I1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1" s="38" t="str">
        <x:v>art_delivery/nm_v2/characters/</x:v>
      </x:c>
      <x:c r="K11" s="45" t="str">
        <x:v>待生成</x:v>
      </x:c>
      <x:c r="L11" s="38" t="str">
        <x:v>upper_arm_left</x:v>
      </x:c>
    </x:row>
    <x:row r="12" ht="300" customHeight="1">
      <x:c r="A12" s="37" t="str">
        <x:f>INDEX('素材需求'!$D$8:$D$119,MATCH(B12,'素材需求'!$A$8:$A$119,0))&amp;IF(L12="","","_"&amp;L12)&amp;".png"</x:f>
        <x:v>nm_v2_agent_base_parts_upper_arm_right.png</x:v>
      </x:c>
      <x:c r="B12" s="37" t="str">
        <x:v>NMV2_STA_002</x:v>
      </x:c>
      <x:c r="C12" s="37" t="str">
        <x:v>右上臂</x:v>
      </x:c>
      <x:c r="D12" s="37" t="str">
        <x:f>"【交付文件】"&amp;A12&amp;CHAR(10)&amp;"【本张任务】"&amp;C12&amp;CHAR(10)&amp;'生成规范'!$B$8&amp;CHAR(10)&amp;"【单张范围】"&amp;E12&amp;CHAR(10)&amp;"【本组造型约束】"&amp;INDEX('素材需求'!$F$8:$F$119,MATCH(B12,'素材需求'!$A$8:$A$119,0))&amp;CHAR(10)&amp;"【参考对象】"&amp;F12&amp;CHAR(10)&amp;"【制作规格】"&amp;I12&amp;"；"&amp;INDEX('素材需求'!$M$8:$M$119,MATCH(B12,'素材需求'!$A$8:$A$119,0))&amp;CHAR(10)&amp;"【颜色】"&amp;'生成规范'!$B$10&amp;"；"&amp;'生成规范'!$B$11&amp;CHAR(10)&amp;"【输出规则】"&amp;'生成规范'!$B$12&amp;" 后处理对齐尺寸与轴点；交付用途："&amp;H12&amp;CHAR(10)&amp;"【禁止项】"&amp;'生成规范'!$B$9&amp;"；"&amp;INDEX('素材需求'!$N$8:$N$119,MATCH(B12,'素材需求'!$A$8:$A$119,0))</x:f>
        <x:v>【交付文件】nm_v2_agent_base_parts_upper_arm_right.png
【本张任务】右上臂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【单张范围】只画本张：右近侧蓝灰短制服袖，上端肩根下端肘关节；仅上臂段，无前臂、手、躯干；本张仅这一独立交付单元，不含其他零件、对照姿势、sheet、文字、背景或地面投影。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2" s="37" t="str">
        <x:v>只画本张：右近侧蓝灰短制服袖，上端肩根下端肘关节；仅上臂段，无前臂、手、躯干；本张仅这一独立交付单元，不含其他零件、对照姿势、sheet、文字、背景或地面投影。</x:v>
      </x:c>
      <x:c r="F12" s="37" t="str">
        <x:f>INDEX('素材需求'!$G$8:$G$119,MATCH(B12,'素材需求'!$A$8:$A$119,0))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12" s="37" t="str">
        <x:f>INDEX('素材需求'!$B$8:$B$119,MATCH(B12,'素材需求'!$A$8:$A$119,0))</x:f>
        <x:v>P0常态</x:v>
      </x:c>
      <x:c r="H12" s="37" t="str">
        <x:v>游戏拆件／贴图</x:v>
      </x:c>
      <x:c r="I1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2" s="37" t="str">
        <x:v>art_delivery/nm_v2/characters/</x:v>
      </x:c>
      <x:c r="K12" s="45" t="str">
        <x:v>待生成</x:v>
      </x:c>
      <x:c r="L12" s="37" t="str">
        <x:v>upper_arm_right</x:v>
      </x:c>
    </x:row>
    <x:row r="13" ht="300" customHeight="1">
      <x:c r="A13" s="38" t="str">
        <x:f>INDEX('素材需求'!$D$8:$D$119,MATCH(B13,'素材需求'!$A$8:$A$119,0))&amp;IF(L13="","","_"&amp;L13)&amp;".png"</x:f>
        <x:v>nm_v2_agent_base_parts_forearm_left.png</x:v>
      </x:c>
      <x:c r="B13" s="38" t="str">
        <x:v>NMV2_STA_002</x:v>
      </x:c>
      <x:c r="C13" s="38" t="str">
        <x:v>左前臂</x:v>
      </x:c>
      <x:c r="D13" s="38" t="str">
        <x:f>"【交付文件】"&amp;A13&amp;CHAR(10)&amp;"【本张任务】"&amp;C13&amp;CHAR(10)&amp;'生成规范'!$B$8&amp;CHAR(10)&amp;"【单张范围】"&amp;E13&amp;CHAR(10)&amp;"【本组造型约束】"&amp;INDEX('素材需求'!$F$8:$F$119,MATCH(B13,'素材需求'!$A$8:$A$119,0))&amp;CHAR(10)&amp;"【参考对象】"&amp;F13&amp;CHAR(10)&amp;"【制作规格】"&amp;I13&amp;"；"&amp;INDEX('素材需求'!$M$8:$M$119,MATCH(B13,'素材需求'!$A$8:$A$119,0))&amp;CHAR(10)&amp;"【颜色】"&amp;'生成规范'!$B$10&amp;"；"&amp;'生成规范'!$B$11&amp;CHAR(10)&amp;"【输出规则】"&amp;'生成规范'!$B$12&amp;" 后处理对齐尺寸与轴点；交付用途："&amp;H13&amp;CHAR(10)&amp;"【禁止项】"&amp;'生成规范'!$B$9&amp;"；"&amp;INDEX('素材需求'!$N$8:$N$119,MATCH(B13,'素材需求'!$A$8:$A$119,0))</x:f>
        <x:v>【交付文件】nm_v2_agent_base_parts_forearm_left.png
【本张任务】左前臂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【单张范围】只画本张：左远侧制服前臂袖，从肘到腕，袖口平整；无上臂、手掌、躯干；本张仅这一独立交付单元，不含其他零件、对照姿势、sheet、文字、背景或地面投影。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3" s="38" t="str">
        <x:v>只画本张：左远侧制服前臂袖，从肘到腕，袖口平整；无上臂、手掌、躯干；本张仅这一独立交付单元，不含其他零件、对照姿势、sheet、文字、背景或地面投影。</x:v>
      </x:c>
      <x:c r="F13" s="38" t="str">
        <x:f>INDEX('素材需求'!$G$8:$G$119,MATCH(B13,'素材需求'!$A$8:$A$119,0))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13" s="38" t="str">
        <x:f>INDEX('素材需求'!$B$8:$B$119,MATCH(B13,'素材需求'!$A$8:$A$119,0))</x:f>
        <x:v>P0常态</x:v>
      </x:c>
      <x:c r="H13" s="38" t="str">
        <x:v>游戏拆件／贴图</x:v>
      </x:c>
      <x:c r="I1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3" s="38" t="str">
        <x:v>art_delivery/nm_v2/characters/</x:v>
      </x:c>
      <x:c r="K13" s="45" t="str">
        <x:v>待生成</x:v>
      </x:c>
      <x:c r="L13" s="38" t="str">
        <x:v>forearm_left</x:v>
      </x:c>
    </x:row>
    <x:row r="14" ht="300" customHeight="1">
      <x:c r="A14" s="37" t="str">
        <x:f>INDEX('素材需求'!$D$8:$D$119,MATCH(B14,'素材需求'!$A$8:$A$119,0))&amp;IF(L14="","","_"&amp;L14)&amp;".png"</x:f>
        <x:v>nm_v2_agent_base_parts_forearm_right.png</x:v>
      </x:c>
      <x:c r="B14" s="37" t="str">
        <x:v>NMV2_STA_002</x:v>
      </x:c>
      <x:c r="C14" s="37" t="str">
        <x:v>右前臂</x:v>
      </x:c>
      <x:c r="D14" s="37" t="str">
        <x:f>"【交付文件】"&amp;A14&amp;CHAR(10)&amp;"【本张任务】"&amp;C14&amp;CHAR(10)&amp;'生成规范'!$B$8&amp;CHAR(10)&amp;"【单张范围】"&amp;E14&amp;CHAR(10)&amp;"【本组造型约束】"&amp;INDEX('素材需求'!$F$8:$F$119,MATCH(B14,'素材需求'!$A$8:$A$119,0))&amp;CHAR(10)&amp;"【参考对象】"&amp;F14&amp;CHAR(10)&amp;"【制作规格】"&amp;I14&amp;"；"&amp;INDEX('素材需求'!$M$8:$M$119,MATCH(B14,'素材需求'!$A$8:$A$119,0))&amp;CHAR(10)&amp;"【颜色】"&amp;'生成规范'!$B$10&amp;"；"&amp;'生成规范'!$B$11&amp;CHAR(10)&amp;"【输出规则】"&amp;'生成规范'!$B$12&amp;" 后处理对齐尺寸与轴点；交付用途："&amp;H14&amp;CHAR(10)&amp;"【禁止项】"&amp;'生成规范'!$B$9&amp;"；"&amp;INDEX('素材需求'!$N$8:$N$119,MATCH(B14,'素材需求'!$A$8:$A$119,0))</x:f>
        <x:v>【交付文件】nm_v2_agent_base_parts_forearm_right.png
【本张任务】右前臂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【单张范围】只画本张：右近侧制服前臂袖，从肘到腕，袖口平整；无上臂、手掌、躯干；本张仅这一独立交付单元，不含其他零件、对照姿势、sheet、文字、背景或地面投影。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4" s="37" t="str">
        <x:v>只画本张：右近侧制服前臂袖，从肘到腕，袖口平整；无上臂、手掌、躯干；本张仅这一独立交付单元，不含其他零件、对照姿势、sheet、文字、背景或地面投影。</x:v>
      </x:c>
      <x:c r="F14" s="37" t="str">
        <x:f>INDEX('素材需求'!$G$8:$G$119,MATCH(B14,'素材需求'!$A$8:$A$119,0))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14" s="37" t="str">
        <x:f>INDEX('素材需求'!$B$8:$B$119,MATCH(B14,'素材需求'!$A$8:$A$119,0))</x:f>
        <x:v>P0常态</x:v>
      </x:c>
      <x:c r="H14" s="37" t="str">
        <x:v>游戏拆件／贴图</x:v>
      </x:c>
      <x:c r="I1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4" s="37" t="str">
        <x:v>art_delivery/nm_v2/characters/</x:v>
      </x:c>
      <x:c r="K14" s="45" t="str">
        <x:v>待生成</x:v>
      </x:c>
      <x:c r="L14" s="37" t="str">
        <x:v>forearm_right</x:v>
      </x:c>
    </x:row>
    <x:row r="15" ht="300" customHeight="1">
      <x:c r="A15" s="38" t="str">
        <x:f>INDEX('素材需求'!$D$8:$D$119,MATCH(B15,'素材需求'!$A$8:$A$119,0))&amp;IF(L15="","","_"&amp;L15)&amp;".png"</x:f>
        <x:v>nm_v2_agent_base_parts_hand_left.png</x:v>
      </x:c>
      <x:c r="B15" s="38" t="str">
        <x:v>NMV2_STA_002</x:v>
      </x:c>
      <x:c r="C15" s="38" t="str">
        <x:v>左手</x:v>
      </x:c>
      <x:c r="D15" s="38" t="str">
        <x:f>"【交付文件】"&amp;A15&amp;CHAR(10)&amp;"【本张任务】"&amp;C15&amp;CHAR(10)&amp;'生成规范'!$B$8&amp;CHAR(10)&amp;"【单张范围】"&amp;E15&amp;CHAR(10)&amp;"【本组造型约束】"&amp;INDEX('素材需求'!$F$8:$F$119,MATCH(B15,'素材需求'!$A$8:$A$119,0))&amp;CHAR(10)&amp;"【参考对象】"&amp;F15&amp;CHAR(10)&amp;"【制作规格】"&amp;I15&amp;"；"&amp;INDEX('素材需求'!$M$8:$M$119,MATCH(B15,'素材需求'!$A$8:$A$119,0))&amp;CHAR(10)&amp;"【颜色】"&amp;'生成规范'!$B$10&amp;"；"&amp;'生成规范'!$B$11&amp;CHAR(10)&amp;"【输出规则】"&amp;'生成规范'!$B$12&amp;" 后处理对齐尺寸与轴点；交付用途："&amp;H15&amp;CHAR(10)&amp;"【禁止项】"&amp;'生成规范'!$B$9&amp;"；"&amp;INDEX('素材需求'!$N$8:$N$119,MATCH(B15,'素材需求'!$A$8:$A$119,0))</x:f>
        <x:v>【交付文件】nm_v2_agent_base_parts_hand_left.png
【本张任务】左手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【单张范围】只画本张：左简化可握持手掌与短腕根，手指轮廓清楚；不带道具、袖子或手臂；本张仅这一独立交付单元，不含其他零件、对照姿势、sheet、文字、背景或地面投影。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5" s="38" t="str">
        <x:v>只画本张：左简化可握持手掌与短腕根，手指轮廓清楚；不带道具、袖子或手臂；本张仅这一独立交付单元，不含其他零件、对照姿势、sheet、文字、背景或地面投影。</x:v>
      </x:c>
      <x:c r="F15" s="38" t="str">
        <x:f>INDEX('素材需求'!$G$8:$G$119,MATCH(B15,'素材需求'!$A$8:$A$119,0))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15" s="38" t="str">
        <x:f>INDEX('素材需求'!$B$8:$B$119,MATCH(B15,'素材需求'!$A$8:$A$119,0))</x:f>
        <x:v>P0常态</x:v>
      </x:c>
      <x:c r="H15" s="38" t="str">
        <x:v>游戏拆件／贴图</x:v>
      </x:c>
      <x:c r="I1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5" s="38" t="str">
        <x:v>art_delivery/nm_v2/characters/</x:v>
      </x:c>
      <x:c r="K15" s="45" t="str">
        <x:v>待生成</x:v>
      </x:c>
      <x:c r="L15" s="38" t="str">
        <x:v>hand_left</x:v>
      </x:c>
    </x:row>
    <x:row r="16" ht="300" customHeight="1">
      <x:c r="A16" s="37" t="str">
        <x:f>INDEX('素材需求'!$D$8:$D$119,MATCH(B16,'素材需求'!$A$8:$A$119,0))&amp;IF(L16="","","_"&amp;L16)&amp;".png"</x:f>
        <x:v>nm_v2_agent_base_parts_hand_right.png</x:v>
      </x:c>
      <x:c r="B16" s="37" t="str">
        <x:v>NMV2_STA_002</x:v>
      </x:c>
      <x:c r="C16" s="37" t="str">
        <x:v>右手</x:v>
      </x:c>
      <x:c r="D16" s="37" t="str">
        <x:f>"【交付文件】"&amp;A16&amp;CHAR(10)&amp;"【本张任务】"&amp;C16&amp;CHAR(10)&amp;'生成规范'!$B$8&amp;CHAR(10)&amp;"【单张范围】"&amp;E16&amp;CHAR(10)&amp;"【本组造型约束】"&amp;INDEX('素材需求'!$F$8:$F$119,MATCH(B16,'素材需求'!$A$8:$A$119,0))&amp;CHAR(10)&amp;"【参考对象】"&amp;F16&amp;CHAR(10)&amp;"【制作规格】"&amp;I16&amp;"；"&amp;INDEX('素材需求'!$M$8:$M$119,MATCH(B16,'素材需求'!$A$8:$A$119,0))&amp;CHAR(10)&amp;"【颜色】"&amp;'生成规范'!$B$10&amp;"；"&amp;'生成规范'!$B$11&amp;CHAR(10)&amp;"【输出规则】"&amp;'生成规范'!$B$12&amp;" 后处理对齐尺寸与轴点；交付用途："&amp;H16&amp;CHAR(10)&amp;"【禁止项】"&amp;'生成规范'!$B$9&amp;"；"&amp;INDEX('素材需求'!$N$8:$N$119,MATCH(B16,'素材需求'!$A$8:$A$119,0))</x:f>
        <x:v>【交付文件】nm_v2_agent_base_parts_hand_right.png
【本张任务】右手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【单张范围】只画本张：右简化可握持手掌与短腕根，手指轮廓清楚；不带道具、袖子或手臂；本张仅这一独立交付单元，不含其他零件、对照姿势、sheet、文字、背景或地面投影。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6" s="37" t="str">
        <x:v>只画本张：右简化可握持手掌与短腕根，手指轮廓清楚；不带道具、袖子或手臂；本张仅这一独立交付单元，不含其他零件、对照姿势、sheet、文字、背景或地面投影。</x:v>
      </x:c>
      <x:c r="F16" s="37" t="str">
        <x:f>INDEX('素材需求'!$G$8:$G$119,MATCH(B16,'素材需求'!$A$8:$A$119,0))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16" s="37" t="str">
        <x:f>INDEX('素材需求'!$B$8:$B$119,MATCH(B16,'素材需求'!$A$8:$A$119,0))</x:f>
        <x:v>P0常态</x:v>
      </x:c>
      <x:c r="H16" s="37" t="str">
        <x:v>游戏拆件／贴图</x:v>
      </x:c>
      <x:c r="I1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6" s="37" t="str">
        <x:v>art_delivery/nm_v2/characters/</x:v>
      </x:c>
      <x:c r="K16" s="45" t="str">
        <x:v>待生成</x:v>
      </x:c>
      <x:c r="L16" s="37" t="str">
        <x:v>hand_right</x:v>
      </x:c>
    </x:row>
    <x:row r="17" ht="300" customHeight="1">
      <x:c r="A17" s="38" t="str">
        <x:f>INDEX('素材需求'!$D$8:$D$119,MATCH(B17,'素材需求'!$A$8:$A$119,0))&amp;IF(L17="","","_"&amp;L17)&amp;".png"</x:f>
        <x:v>nm_v2_agent_base_parts_thigh_left.png</x:v>
      </x:c>
      <x:c r="B17" s="38" t="str">
        <x:v>NMV2_STA_002</x:v>
      </x:c>
      <x:c r="C17" s="38" t="str">
        <x:v>左大腿</x:v>
      </x:c>
      <x:c r="D17" s="38" t="str">
        <x:f>"【交付文件】"&amp;A17&amp;CHAR(10)&amp;"【本张任务】"&amp;C17&amp;CHAR(10)&amp;'生成规范'!$B$8&amp;CHAR(10)&amp;"【单张范围】"&amp;E17&amp;CHAR(10)&amp;"【本组造型约束】"&amp;INDEX('素材需求'!$F$8:$F$119,MATCH(B17,'素材需求'!$A$8:$A$119,0))&amp;CHAR(10)&amp;"【参考对象】"&amp;F17&amp;CHAR(10)&amp;"【制作规格】"&amp;I17&amp;"；"&amp;INDEX('素材需求'!$M$8:$M$119,MATCH(B17,'素材需求'!$A$8:$A$119,0))&amp;CHAR(10)&amp;"【颜色】"&amp;'生成规范'!$B$10&amp;"；"&amp;'生成规范'!$B$11&amp;CHAR(10)&amp;"【输出规则】"&amp;'生成规范'!$B$12&amp;" 后处理对齐尺寸与轴点；交付用途："&amp;H17&amp;CHAR(10)&amp;"【禁止项】"&amp;'生成规范'!$B$9&amp;"；"&amp;INDEX('素材需求'!$N$8:$N$119,MATCH(B17,'素材需求'!$A$8:$A$119,0))</x:f>
        <x:v>【交付文件】nm_v2_agent_base_parts_thigh_left.png
【本张任务】左大腿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【单张范围】只画本张：左蓝灰制服裤大腿段，仅髋到膝，适中宽度，非骨柴腿；无小腿、鞋、躯干；本张仅这一独立交付单元，不含其他零件、对照姿势、sheet、文字、背景或地面投影。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7" s="38" t="str">
        <x:v>只画本张：左蓝灰制服裤大腿段，仅髋到膝，适中宽度，非骨柴腿；无小腿、鞋、躯干；本张仅这一独立交付单元，不含其他零件、对照姿势、sheet、文字、背景或地面投影。</x:v>
      </x:c>
      <x:c r="F17" s="38" t="str">
        <x:f>INDEX('素材需求'!$G$8:$G$119,MATCH(B17,'素材需求'!$A$8:$A$119,0))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17" s="38" t="str">
        <x:f>INDEX('素材需求'!$B$8:$B$119,MATCH(B17,'素材需求'!$A$8:$A$119,0))</x:f>
        <x:v>P0常态</x:v>
      </x:c>
      <x:c r="H17" s="38" t="str">
        <x:v>游戏拆件／贴图</x:v>
      </x:c>
      <x:c r="I1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7" s="38" t="str">
        <x:v>art_delivery/nm_v2/characters/</x:v>
      </x:c>
      <x:c r="K17" s="45" t="str">
        <x:v>待生成</x:v>
      </x:c>
      <x:c r="L17" s="38" t="str">
        <x:v>thigh_left</x:v>
      </x:c>
    </x:row>
    <x:row r="18" ht="300" customHeight="1">
      <x:c r="A18" s="37" t="str">
        <x:f>INDEX('素材需求'!$D$8:$D$119,MATCH(B18,'素材需求'!$A$8:$A$119,0))&amp;IF(L18="","","_"&amp;L18)&amp;".png"</x:f>
        <x:v>nm_v2_agent_base_parts_thigh_right.png</x:v>
      </x:c>
      <x:c r="B18" s="37" t="str">
        <x:v>NMV2_STA_002</x:v>
      </x:c>
      <x:c r="C18" s="37" t="str">
        <x:v>右大腿</x:v>
      </x:c>
      <x:c r="D18" s="37" t="str">
        <x:f>"【交付文件】"&amp;A18&amp;CHAR(10)&amp;"【本张任务】"&amp;C18&amp;CHAR(10)&amp;'生成规范'!$B$8&amp;CHAR(10)&amp;"【单张范围】"&amp;E18&amp;CHAR(10)&amp;"【本组造型约束】"&amp;INDEX('素材需求'!$F$8:$F$119,MATCH(B18,'素材需求'!$A$8:$A$119,0))&amp;CHAR(10)&amp;"【参考对象】"&amp;F18&amp;CHAR(10)&amp;"【制作规格】"&amp;I18&amp;"；"&amp;INDEX('素材需求'!$M$8:$M$119,MATCH(B18,'素材需求'!$A$8:$A$119,0))&amp;CHAR(10)&amp;"【颜色】"&amp;'生成规范'!$B$10&amp;"；"&amp;'生成规范'!$B$11&amp;CHAR(10)&amp;"【输出规则】"&amp;'生成规范'!$B$12&amp;" 后处理对齐尺寸与轴点；交付用途："&amp;H18&amp;CHAR(10)&amp;"【禁止项】"&amp;'生成规范'!$B$9&amp;"；"&amp;INDEX('素材需求'!$N$8:$N$119,MATCH(B18,'素材需求'!$A$8:$A$119,0))</x:f>
        <x:v>【交付文件】nm_v2_agent_base_parts_thigh_right.png
【本张任务】右大腿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【单张范围】只画本张：右蓝灰制服裤大腿段，仅髋到膝，适中宽度，非骨柴腿；无小腿、鞋、躯干；本张仅这一独立交付单元，不含其他零件、对照姿势、sheet、文字、背景或地面投影。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8" s="37" t="str">
        <x:v>只画本张：右蓝灰制服裤大腿段，仅髋到膝，适中宽度，非骨柴腿；无小腿、鞋、躯干；本张仅这一独立交付单元，不含其他零件、对照姿势、sheet、文字、背景或地面投影。</x:v>
      </x:c>
      <x:c r="F18" s="37" t="str">
        <x:f>INDEX('素材需求'!$G$8:$G$119,MATCH(B18,'素材需求'!$A$8:$A$119,0))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18" s="37" t="str">
        <x:f>INDEX('素材需求'!$B$8:$B$119,MATCH(B18,'素材需求'!$A$8:$A$119,0))</x:f>
        <x:v>P0常态</x:v>
      </x:c>
      <x:c r="H18" s="37" t="str">
        <x:v>游戏拆件／贴图</x:v>
      </x:c>
      <x:c r="I1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8" s="37" t="str">
        <x:v>art_delivery/nm_v2/characters/</x:v>
      </x:c>
      <x:c r="K18" s="45" t="str">
        <x:v>待生成</x:v>
      </x:c>
      <x:c r="L18" s="37" t="str">
        <x:v>thigh_right</x:v>
      </x:c>
    </x:row>
    <x:row r="19" ht="300" customHeight="1">
      <x:c r="A19" s="38" t="str">
        <x:f>INDEX('素材需求'!$D$8:$D$119,MATCH(B19,'素材需求'!$A$8:$A$119,0))&amp;IF(L19="","","_"&amp;L19)&amp;".png"</x:f>
        <x:v>nm_v2_agent_base_parts_shin_left.png</x:v>
      </x:c>
      <x:c r="B19" s="38" t="str">
        <x:v>NMV2_STA_002</x:v>
      </x:c>
      <x:c r="C19" s="38" t="str">
        <x:v>左小腿</x:v>
      </x:c>
      <x:c r="D19" s="38" t="str">
        <x:f>"【交付文件】"&amp;A19&amp;CHAR(10)&amp;"【本张任务】"&amp;C19&amp;CHAR(10)&amp;'生成规范'!$B$8&amp;CHAR(10)&amp;"【单张范围】"&amp;E19&amp;CHAR(10)&amp;"【本组造型约束】"&amp;INDEX('素材需求'!$F$8:$F$119,MATCH(B19,'素材需求'!$A$8:$A$119,0))&amp;CHAR(10)&amp;"【参考对象】"&amp;F19&amp;CHAR(10)&amp;"【制作规格】"&amp;I19&amp;"；"&amp;INDEX('素材需求'!$M$8:$M$119,MATCH(B19,'素材需求'!$A$8:$A$119,0))&amp;CHAR(10)&amp;"【颜色】"&amp;'生成规范'!$B$10&amp;"；"&amp;'生成规范'!$B$11&amp;CHAR(10)&amp;"【输出规则】"&amp;'生成规范'!$B$12&amp;" 后处理对齐尺寸与轴点；交付用途："&amp;H19&amp;CHAR(10)&amp;"【禁止项】"&amp;'生成规范'!$B$9&amp;"；"&amp;INDEX('素材需求'!$N$8:$N$119,MATCH(B19,'素材需求'!$A$8:$A$119,0))</x:f>
        <x:v>【交付文件】nm_v2_agent_base_parts_shin_left.png
【本张任务】左小腿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【单张范围】只画本张：左制服裤小腿段，仅膝到踝，关节内侧补全；无大腿、鞋、躯干；本张仅这一独立交付单元，不含其他零件、对照姿势、sheet、文字、背景或地面投影。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9" s="38" t="str">
        <x:v>只画本张：左制服裤小腿段，仅膝到踝，关节内侧补全；无大腿、鞋、躯干；本张仅这一独立交付单元，不含其他零件、对照姿势、sheet、文字、背景或地面投影。</x:v>
      </x:c>
      <x:c r="F19" s="38" t="str">
        <x:f>INDEX('素材需求'!$G$8:$G$119,MATCH(B19,'素材需求'!$A$8:$A$119,0))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19" s="38" t="str">
        <x:f>INDEX('素材需求'!$B$8:$B$119,MATCH(B19,'素材需求'!$A$8:$A$119,0))</x:f>
        <x:v>P0常态</x:v>
      </x:c>
      <x:c r="H19" s="38" t="str">
        <x:v>游戏拆件／贴图</x:v>
      </x:c>
      <x:c r="I1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9" s="38" t="str">
        <x:v>art_delivery/nm_v2/characters/</x:v>
      </x:c>
      <x:c r="K19" s="45" t="str">
        <x:v>待生成</x:v>
      </x:c>
      <x:c r="L19" s="38" t="str">
        <x:v>shin_left</x:v>
      </x:c>
    </x:row>
    <x:row r="20" ht="300" customHeight="1">
      <x:c r="A20" s="37" t="str">
        <x:f>INDEX('素材需求'!$D$8:$D$119,MATCH(B20,'素材需求'!$A$8:$A$119,0))&amp;IF(L20="","","_"&amp;L20)&amp;".png"</x:f>
        <x:v>nm_v2_agent_base_parts_shin_right.png</x:v>
      </x:c>
      <x:c r="B20" s="37" t="str">
        <x:v>NMV2_STA_002</x:v>
      </x:c>
      <x:c r="C20" s="37" t="str">
        <x:v>右小腿</x:v>
      </x:c>
      <x:c r="D20" s="37" t="str">
        <x:f>"【交付文件】"&amp;A20&amp;CHAR(10)&amp;"【本张任务】"&amp;C20&amp;CHAR(10)&amp;'生成规范'!$B$8&amp;CHAR(10)&amp;"【单张范围】"&amp;E20&amp;CHAR(10)&amp;"【本组造型约束】"&amp;INDEX('素材需求'!$F$8:$F$119,MATCH(B20,'素材需求'!$A$8:$A$119,0))&amp;CHAR(10)&amp;"【参考对象】"&amp;F20&amp;CHAR(10)&amp;"【制作规格】"&amp;I20&amp;"；"&amp;INDEX('素材需求'!$M$8:$M$119,MATCH(B20,'素材需求'!$A$8:$A$119,0))&amp;CHAR(10)&amp;"【颜色】"&amp;'生成规范'!$B$10&amp;"；"&amp;'生成规范'!$B$11&amp;CHAR(10)&amp;"【输出规则】"&amp;'生成规范'!$B$12&amp;" 后处理对齐尺寸与轴点；交付用途："&amp;H20&amp;CHAR(10)&amp;"【禁止项】"&amp;'生成规范'!$B$9&amp;"；"&amp;INDEX('素材需求'!$N$8:$N$119,MATCH(B20,'素材需求'!$A$8:$A$119,0))</x:f>
        <x:v>【交付文件】nm_v2_agent_base_parts_shin_right.png
【本张任务】右小腿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【单张范围】只画本张：右制服裤小腿段，仅膝到踝，关节内侧补全；无大腿、鞋、躯干；本张仅这一独立交付单元，不含其他零件、对照姿势、sheet、文字、背景或地面投影。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0" s="37" t="str">
        <x:v>只画本张：右制服裤小腿段，仅膝到踝，关节内侧补全；无大腿、鞋、躯干；本张仅这一独立交付单元，不含其他零件、对照姿势、sheet、文字、背景或地面投影。</x:v>
      </x:c>
      <x:c r="F20" s="37" t="str">
        <x:f>INDEX('素材需求'!$G$8:$G$119,MATCH(B20,'素材需求'!$A$8:$A$119,0))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20" s="37" t="str">
        <x:f>INDEX('素材需求'!$B$8:$B$119,MATCH(B20,'素材需求'!$A$8:$A$119,0))</x:f>
        <x:v>P0常态</x:v>
      </x:c>
      <x:c r="H20" s="37" t="str">
        <x:v>游戏拆件／贴图</x:v>
      </x:c>
      <x:c r="I2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0" s="37" t="str">
        <x:v>art_delivery/nm_v2/characters/</x:v>
      </x:c>
      <x:c r="K20" s="45" t="str">
        <x:v>待生成</x:v>
      </x:c>
      <x:c r="L20" s="37" t="str">
        <x:v>shin_right</x:v>
      </x:c>
    </x:row>
    <x:row r="21" ht="314.25" customHeight="1">
      <x:c r="A21" s="38" t="str">
        <x:f>INDEX('素材需求'!$D$8:$D$119,MATCH(B21,'素材需求'!$A$8:$A$119,0))&amp;IF(L21="","","_"&amp;L21)&amp;".png"</x:f>
        <x:v>nm_v2_agent_base_parts_boot_left.png</x:v>
      </x:c>
      <x:c r="B21" s="38" t="str">
        <x:v>NMV2_STA_002</x:v>
      </x:c>
      <x:c r="C21" s="38" t="str">
        <x:v>左鞋</x:v>
      </x:c>
      <x:c r="D21" s="38" t="str">
        <x:f>"【交付文件】"&amp;A21&amp;CHAR(10)&amp;"【本张任务】"&amp;C21&amp;CHAR(10)&amp;'生成规范'!$B$8&amp;CHAR(10)&amp;"【单张范围】"&amp;E21&amp;CHAR(10)&amp;"【本组造型约束】"&amp;INDEX('素材需求'!$F$8:$F$119,MATCH(B21,'素材需求'!$A$8:$A$119,0))&amp;CHAR(10)&amp;"【参考对象】"&amp;F21&amp;CHAR(10)&amp;"【制作规格】"&amp;I21&amp;"；"&amp;INDEX('素材需求'!$M$8:$M$119,MATCH(B21,'素材需求'!$A$8:$A$119,0))&amp;CHAR(10)&amp;"【颜色】"&amp;'生成规范'!$B$10&amp;"；"&amp;'生成规范'!$B$11&amp;CHAR(10)&amp;"【输出规则】"&amp;'生成规范'!$B$12&amp;" 后处理对齐尺寸与轴点；交付用途："&amp;H21&amp;CHAR(10)&amp;"【禁止项】"&amp;'生成规范'!$B$9&amp;"；"&amp;INDEX('素材需求'!$N$8:$N$119,MATCH(B21,'素材需求'!$A$8:$A$119,0))</x:f>
        <x:v>【交付文件】nm_v2_agent_base_parts_boot_left.png
【本张任务】左鞋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【单张范围】只画本张：左现代轻便防滑工作鞋，深蓝灰与冷白小接边，水平足底朝右；仅短踝余量，无整条腿；本张仅这一独立交付单元，不含其他零件、对照姿势、sheet、文字、背景或地面投影。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1" s="38" t="str">
        <x:v>只画本张：左现代轻便防滑工作鞋，深蓝灰与冷白小接边，水平足底朝右；仅短踝余量，无整条腿；本张仅这一独立交付单元，不含其他零件、对照姿势、sheet、文字、背景或地面投影。</x:v>
      </x:c>
      <x:c r="F21" s="38" t="str">
        <x:f>INDEX('素材需求'!$G$8:$G$119,MATCH(B21,'素材需求'!$A$8:$A$119,0))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21" s="38" t="str">
        <x:f>INDEX('素材需求'!$B$8:$B$119,MATCH(B21,'素材需求'!$A$8:$A$119,0))</x:f>
        <x:v>P0常态</x:v>
      </x:c>
      <x:c r="H21" s="38" t="str">
        <x:v>游戏拆件／贴图</x:v>
      </x:c>
      <x:c r="I2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1" s="38" t="str">
        <x:v>art_delivery/nm_v2/characters/</x:v>
      </x:c>
      <x:c r="K21" s="45" t="str">
        <x:v>待生成</x:v>
      </x:c>
      <x:c r="L21" s="38" t="str">
        <x:v>boot_left</x:v>
      </x:c>
    </x:row>
    <x:row r="22" ht="314.25" customHeight="1">
      <x:c r="A22" s="37" t="str">
        <x:f>INDEX('素材需求'!$D$8:$D$119,MATCH(B22,'素材需求'!$A$8:$A$119,0))&amp;IF(L22="","","_"&amp;L22)&amp;".png"</x:f>
        <x:v>nm_v2_agent_base_parts_boot_right.png</x:v>
      </x:c>
      <x:c r="B22" s="37" t="str">
        <x:v>NMV2_STA_002</x:v>
      </x:c>
      <x:c r="C22" s="37" t="str">
        <x:v>右鞋</x:v>
      </x:c>
      <x:c r="D22" s="37" t="str">
        <x:f>"【交付文件】"&amp;A22&amp;CHAR(10)&amp;"【本张任务】"&amp;C22&amp;CHAR(10)&amp;'生成规范'!$B$8&amp;CHAR(10)&amp;"【单张范围】"&amp;E22&amp;CHAR(10)&amp;"【本组造型约束】"&amp;INDEX('素材需求'!$F$8:$F$119,MATCH(B22,'素材需求'!$A$8:$A$119,0))&amp;CHAR(10)&amp;"【参考对象】"&amp;F22&amp;CHAR(10)&amp;"【制作规格】"&amp;I22&amp;"；"&amp;INDEX('素材需求'!$M$8:$M$119,MATCH(B22,'素材需求'!$A$8:$A$119,0))&amp;CHAR(10)&amp;"【颜色】"&amp;'生成规范'!$B$10&amp;"；"&amp;'生成规范'!$B$11&amp;CHAR(10)&amp;"【输出规则】"&amp;'生成规范'!$B$12&amp;" 后处理对齐尺寸与轴点；交付用途："&amp;H22&amp;CHAR(10)&amp;"【禁止项】"&amp;'生成规范'!$B$9&amp;"；"&amp;INDEX('素材需求'!$N$8:$N$119,MATCH(B22,'素材需求'!$A$8:$A$119,0))</x:f>
        <x:v>【交付文件】nm_v2_agent_base_parts_boot_right.png
【本张任务】右鞋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【单张范围】只画本张：右现代轻便防滑工作鞋，深蓝灰与冷白小接边，水平足底朝右；仅短踝余量，无整条腿；本张仅这一独立交付单元，不含其他零件、对照姿势、sheet、文字、背景或地面投影。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2" s="37" t="str">
        <x:v>只画本张：右现代轻便防滑工作鞋，深蓝灰与冷白小接边，水平足底朝右；仅短踝余量，无整条腿；本张仅这一独立交付单元，不含其他零件、对照姿势、sheet、文字、背景或地面投影。</x:v>
      </x:c>
      <x:c r="F22" s="37" t="str">
        <x:f>INDEX('素材需求'!$G$8:$G$119,MATCH(B22,'素材需求'!$A$8:$A$119,0))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22" s="37" t="str">
        <x:f>INDEX('素材需求'!$B$8:$B$119,MATCH(B22,'素材需求'!$A$8:$A$119,0))</x:f>
        <x:v>P0常态</x:v>
      </x:c>
      <x:c r="H22" s="37" t="str">
        <x:v>游戏拆件／贴图</x:v>
      </x:c>
      <x:c r="I2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2" s="37" t="str">
        <x:v>art_delivery/nm_v2/characters/</x:v>
      </x:c>
      <x:c r="K22" s="45" t="str">
        <x:v>待生成</x:v>
      </x:c>
      <x:c r="L22" s="37" t="str">
        <x:v>boot_right</x:v>
      </x:c>
    </x:row>
    <x:row r="23" ht="314.25" customHeight="1">
      <x:c r="A23" s="38" t="str">
        <x:f>INDEX('素材需求'!$D$8:$D$119,MATCH(B23,'素材需求'!$A$8:$A$119,0))&amp;IF(L23="","","_"&amp;L23)&amp;".png"</x:f>
        <x:v>nm_v2_agent_base_parts_starter_baton.png</x:v>
      </x:c>
      <x:c r="B23" s="38" t="str">
        <x:v>NMV2_STA_002</x:v>
      </x:c>
      <x:c r="C23" s="38" t="str">
        <x:v>W00制式短棍</x:v>
      </x:c>
      <x:c r="D23" s="38" t="str">
        <x:f>"【交付文件】"&amp;A23&amp;CHAR(10)&amp;"【本张任务】"&amp;C23&amp;CHAR(10)&amp;'生成规范'!$B$8&amp;CHAR(10)&amp;"【单张范围】"&amp;E23&amp;CHAR(10)&amp;"【本组造型约束】"&amp;INDEX('素材需求'!$F$8:$F$119,MATCH(B23,'素材需求'!$A$8:$A$119,0))&amp;CHAR(10)&amp;"【参考对象】"&amp;F23&amp;CHAR(10)&amp;"【制作规格】"&amp;I23&amp;"；"&amp;INDEX('素材需求'!$M$8:$M$119,MATCH(B23,'素材需求'!$A$8:$A$119,0))&amp;CHAR(10)&amp;"【颜色】"&amp;'生成规范'!$B$10&amp;"；"&amp;'生成规范'!$B$11&amp;CHAR(10)&amp;"【输出规则】"&amp;'生成规范'!$B$12&amp;" 后处理对齐尺寸与轴点；交付用途："&amp;H23&amp;CHAR(10)&amp;"【禁止项】"&amp;'生成规范'!$B$9&amp;"；"&amp;INDEX('素材需求'!$N$8:$N$119,MATCH(B23,'素材需求'!$A$8:$A$119,0))</x:f>
        <x:v>【交付文件】nm_v2_agent_base_parts_starter_baton.png
【本张任务】W00制式短棍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【单张范围】只画本张：一根现代深灰制式短棍，防滑握柄与钝头，握点可定位；无手、能量核心、发光或特效；本张仅这一独立交付单元，不含其他零件、对照姿势、sheet、文字、背景或地面投影。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3" s="38" t="str">
        <x:v>只画本张：一根现代深灰制式短棍，防滑握柄与钝头，握点可定位；无手、能量核心、发光或特效；本张仅这一独立交付单元，不含其他零件、对照姿势、sheet、文字、背景或地面投影。</x:v>
      </x:c>
      <x:c r="F23" s="38" t="str">
        <x:f>INDEX('素材需求'!$G$8:$G$119,MATCH(B23,'素材需求'!$A$8:$A$119,0))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23" s="38" t="str">
        <x:f>INDEX('素材需求'!$B$8:$B$119,MATCH(B23,'素材需求'!$A$8:$A$119,0))</x:f>
        <x:v>P0常态</x:v>
      </x:c>
      <x:c r="H23" s="38" t="str">
        <x:v>游戏拆件／贴图</x:v>
      </x:c>
      <x:c r="I2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3" s="38" t="str">
        <x:v>art_delivery/nm_v2/characters/</x:v>
      </x:c>
      <x:c r="K23" s="45" t="str">
        <x:v>待生成</x:v>
      </x:c>
      <x:c r="L23" s="38" t="str">
        <x:v>starter_baton</x:v>
      </x:c>
    </x:row>
    <x:row r="24" ht="314.25" customHeight="1">
      <x:c r="A24" s="37" t="str">
        <x:f>INDEX('素材需求'!$D$8:$D$119,MATCH(B24,'素材需求'!$A$8:$A$119,0))&amp;IF(L24="","","_"&amp;L24)&amp;".png"</x:f>
        <x:v>nm_v2_agent_base_parts_tablet.png</x:v>
      </x:c>
      <x:c r="B24" s="37" t="str">
        <x:v>NMV2_STA_002</x:v>
      </x:c>
      <x:c r="C24" s="37" t="str">
        <x:v>观察平板</x:v>
      </x:c>
      <x:c r="D24" s="37" t="str">
        <x:f>"【交付文件】"&amp;A24&amp;CHAR(10)&amp;"【本张任务】"&amp;C24&amp;CHAR(10)&amp;'生成规范'!$B$8&amp;CHAR(10)&amp;"【单张范围】"&amp;E24&amp;CHAR(10)&amp;"【本组造型约束】"&amp;INDEX('素材需求'!$F$8:$F$119,MATCH(B24,'素材需求'!$A$8:$A$119,0))&amp;CHAR(10)&amp;"【参考对象】"&amp;F24&amp;CHAR(10)&amp;"【制作规格】"&amp;I24&amp;"；"&amp;INDEX('素材需求'!$M$8:$M$119,MATCH(B24,'素材需求'!$A$8:$A$119,0))&amp;CHAR(10)&amp;"【颜色】"&amp;'生成规范'!$B$10&amp;"；"&amp;'生成规范'!$B$11&amp;CHAR(10)&amp;"【输出规则】"&amp;'生成规范'!$B$12&amp;" 后处理对齐尺寸与轴点；交付用途："&amp;H24&amp;CHAR(10)&amp;"【禁止项】"&amp;'生成规范'!$B$9&amp;"；"&amp;INDEX('素材需求'!$N$8:$N$119,MATCH(B24,'素材需求'!$A$8:$A$119,0))</x:f>
        <x:v>【交付文件】nm_v2_agent_base_parts_tablet.png
【本张任务】观察平板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【单张范围】只画本张：一块薄型冷灰平板，屏幕仅低对比几何占位，握持边清楚；无可读文字、纸张、手或角色；本张仅这一独立交付单元，不含其他零件、对照姿势、sheet、文字、背景或地面投影。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保留14身体件的关节结构，W00重画为现代制式短棍，旧纸观察夹板改轻型平板。躯干只留肩根短余量、不含整袖；上臂仅肩到肘，前臂仅肘到腕；无新增功能器件。
【参考对象】现代机构员工的人体简化拆件，圆角肩、正常手掌与短鞋；蓝灰布料与冷白内搭，常见平板电脑和圆钝制式短棍。按新版员工定稿比例，单张只画一个当前部位。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4" s="37" t="str">
        <x:v>只画本张：一块薄型冷灰平板，屏幕仅低对比几何占位，握持边清楚；无可读文字、纸张、手或角色；本张仅这一独立交付单元，不含其他零件、对照姿势、sheet、文字、背景或地面投影。</x:v>
      </x:c>
      <x:c r="F24" s="37" t="str">
        <x:f>INDEX('素材需求'!$G$8:$G$119,MATCH(B24,'素材需求'!$A$8:$A$119,0))</x:f>
        <x:v>现代机构员工的人体简化拆件，圆角肩、正常手掌与短鞋；蓝灰布料与冷白内搭，常见平板电脑和圆钝制式短棍。按新版员工定稿比例，单张只画一个当前部位。</x:v>
      </x:c>
      <x:c r="G24" s="37" t="str">
        <x:f>INDEX('素材需求'!$B$8:$B$119,MATCH(B24,'素材需求'!$A$8:$A$119,0))</x:f>
        <x:v>P0常态</x:v>
      </x:c>
      <x:c r="H24" s="37" t="str">
        <x:v>游戏拆件／贴图</x:v>
      </x:c>
      <x:c r="I2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4" s="37" t="str">
        <x:v>art_delivery/nm_v2/characters/</x:v>
      </x:c>
      <x:c r="K24" s="45" t="str">
        <x:v>待生成</x:v>
      </x:c>
      <x:c r="L24" s="37" t="str">
        <x:v>tablet</x:v>
      </x:c>
    </x:row>
    <x:row r="25" ht="300" customHeight="1">
      <x:c r="A25" s="38" t="str">
        <x:f>INDEX('素材需求'!$D$8:$D$119,MATCH(B25,'素材需求'!$A$8:$A$119,0))&amp;IF(L25="","","_"&amp;L25)&amp;".png"</x:f>
        <x:v>nm_v2_agent_hair_quiff_hair.png</x:v>
      </x:c>
      <x:c r="B25" s="38" t="str">
        <x:v>NMV2_STA_003</x:v>
      </x:c>
      <x:c r="C25" s="38" t="str">
        <x:v>E01上扬短束 hair</x:v>
      </x:c>
      <x:c r="D25" s="38" t="str">
        <x:f>"【交付文件】"&amp;A25&amp;CHAR(10)&amp;"【本张任务】"&amp;C25&amp;CHAR(10)&amp;'生成规范'!$B$8&amp;CHAR(10)&amp;"【单张范围】"&amp;E25&amp;CHAR(10)&amp;"【本组造型约束】"&amp;INDEX('素材需求'!$F$8:$F$119,MATCH(B25,'素材需求'!$A$8:$A$119,0))&amp;CHAR(10)&amp;"【参考对象】"&amp;F25&amp;CHAR(10)&amp;"【制作规格】"&amp;I25&amp;"；"&amp;INDEX('素材需求'!$M$8:$M$119,MATCH(B25,'素材需求'!$A$8:$A$119,0))&amp;CHAR(10)&amp;"【颜色】"&amp;'生成规范'!$B$10&amp;"；"&amp;'生成规范'!$B$11&amp;CHAR(10)&amp;"【输出规则】"&amp;'生成规范'!$B$12&amp;" 后处理对齐尺寸与轴点；交付用途："&amp;H25&amp;CHAR(10)&amp;"【禁止项】"&amp;'生成规范'!$B$9&amp;"；"&amp;INDEX('素材需求'!$N$8:$N$119,MATCH(B25,'素材需求'!$A$8:$A$119,0))</x:f>
        <x:v>【交付文件】nm_v2_agent_hair_quiff_hair.png
【本张任务】E01上扬短束 hair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【单张范围】只画本张：前高后低的深蓝黑整片短发，前额一束圆钝上扬，后脑压低；无头脸；本张仅这一独立交付单元，不含其他零件、对照姿势、sheet、文字、背景或地面投影。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
【参考对象】简洁蓬松短发，额前一小簇向上发束；现代职场发型，深蓝黑与低饱和冷灰阴影，无尖锐漫画刺发。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5" s="38" t="str">
        <x:v>只画本张：前高后低的深蓝黑整片短发，前额一束圆钝上扬，后脑压低；无头脸；本张仅这一独立交付单元，不含其他零件、对照姿势、sheet、文字、背景或地面投影。</x:v>
      </x:c>
      <x:c r="F25" s="38" t="str">
        <x:f>INDEX('素材需求'!$G$8:$G$119,MATCH(B25,'素材需求'!$A$8:$A$119,0))</x:f>
        <x:v>简洁蓬松短发，额前一小簇向上发束；现代职场发型，深蓝黑与低饱和冷灰阴影，无尖锐漫画刺发。</x:v>
      </x:c>
      <x:c r="G25" s="38" t="str">
        <x:f>INDEX('素材需求'!$B$8:$B$119,MATCH(B25,'素材需求'!$A$8:$A$119,0))</x:f>
        <x:v>P0常态</x:v>
      </x:c>
      <x:c r="H25" s="38" t="str">
        <x:v>游戏拆件／贴图</x:v>
      </x:c>
      <x:c r="I2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5" s="38" t="str">
        <x:v>art_delivery/nm_v2/characters/</x:v>
      </x:c>
      <x:c r="K25" s="45" t="str">
        <x:v>待生成</x:v>
      </x:c>
      <x:c r="L25" s="38" t="str">
        <x:v>hair</x:v>
      </x:c>
    </x:row>
    <x:row r="26" ht="300" customHeight="1">
      <x:c r="A26" s="37" t="str">
        <x:f>INDEX('素材需求'!$D$8:$D$119,MATCH(B26,'素材需求'!$A$8:$A$119,0))&amp;IF(L26="","","_"&amp;L26)&amp;".png"</x:f>
        <x:v>nm_v2_agent_hair_side_fringe_hair.png</x:v>
      </x:c>
      <x:c r="B26" s="37" t="str">
        <x:v>NMV2_STA_004</x:v>
      </x:c>
      <x:c r="C26" s="37" t="str">
        <x:v>E02侧分短发 hair</x:v>
      </x:c>
      <x:c r="D26" s="37" t="str">
        <x:f>"【交付文件】"&amp;A26&amp;CHAR(10)&amp;"【本张任务】"&amp;C26&amp;CHAR(10)&amp;'生成规范'!$B$8&amp;CHAR(10)&amp;"【单张范围】"&amp;E26&amp;CHAR(10)&amp;"【本组造型约束】"&amp;INDEX('素材需求'!$F$8:$F$119,MATCH(B26,'素材需求'!$A$8:$A$119,0))&amp;CHAR(10)&amp;"【参考对象】"&amp;F26&amp;CHAR(10)&amp;"【制作规格】"&amp;I26&amp;"；"&amp;INDEX('素材需求'!$M$8:$M$119,MATCH(B26,'素材需求'!$A$8:$A$119,0))&amp;CHAR(10)&amp;"【颜色】"&amp;'生成规范'!$B$10&amp;"；"&amp;'生成规范'!$B$11&amp;CHAR(10)&amp;"【输出规则】"&amp;'生成规范'!$B$12&amp;" 后处理对齐尺寸与轴点；交付用途："&amp;H26&amp;CHAR(10)&amp;"【禁止项】"&amp;'生成规范'!$B$9&amp;"；"&amp;INDEX('素材需求'!$N$8:$N$119,MATCH(B26,'素材需求'!$A$8:$A$119,0))</x:f>
        <x:v>【交付文件】nm_v2_agent_hair_side_fringe_hair.png
【本张任务】E02侧分短发 hair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【单张范围】只画本张：自然暖棕侧扫斜刘海整体发片，另一侧耳根留空，眼位无遮挡；无头脸；本张仅这一独立交付单元，不含其他零件、对照姿势、sheet、文字、背景或地面投影。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
【参考对象】干净侧分短刘海、耳边利落的现代职场短发；深棕与冷灰阴影，不遮主要眼区。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6" s="37" t="str">
        <x:v>只画本张：自然暖棕侧扫斜刘海整体发片，另一侧耳根留空，眼位无遮挡；无头脸；本张仅这一独立交付单元，不含其他零件、对照姿势、sheet、文字、背景或地面投影。</x:v>
      </x:c>
      <x:c r="F26" s="37" t="str">
        <x:f>INDEX('素材需求'!$G$8:$G$119,MATCH(B26,'素材需求'!$A$8:$A$119,0))</x:f>
        <x:v>干净侧分短刘海、耳边利落的现代职场短发；深棕与冷灰阴影，不遮主要眼区。</x:v>
      </x:c>
      <x:c r="G26" s="37" t="str">
        <x:f>INDEX('素材需求'!$B$8:$B$119,MATCH(B26,'素材需求'!$A$8:$A$119,0))</x:f>
        <x:v>P0常态</x:v>
      </x:c>
      <x:c r="H26" s="37" t="str">
        <x:v>游戏拆件／贴图</x:v>
      </x:c>
      <x:c r="I2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6" s="37" t="str">
        <x:v>art_delivery/nm_v2/characters/</x:v>
      </x:c>
      <x:c r="K26" s="45" t="str">
        <x:v>待生成</x:v>
      </x:c>
      <x:c r="L26" s="37" t="str">
        <x:v>hair</x:v>
      </x:c>
    </x:row>
    <x:row r="27" ht="300" customHeight="1">
      <x:c r="A27" s="38" t="str">
        <x:f>INDEX('素材需求'!$D$8:$D$119,MATCH(B27,'素材需求'!$A$8:$A$119,0))&amp;IF(L27="","","_"&amp;L27)&amp;".png"</x:f>
        <x:v>nm_v2_agent_hair_bob_glasses_hair.png</x:v>
      </x:c>
      <x:c r="B27" s="38" t="str">
        <x:v>NMV2_STA_005</x:v>
      </x:c>
      <x:c r="C27" s="38" t="str">
        <x:v>E03短波波头与眼镜 hair</x:v>
      </x:c>
      <x:c r="D27" s="38" t="str">
        <x:f>"【交付文件】"&amp;A27&amp;CHAR(10)&amp;"【本张任务】"&amp;C27&amp;CHAR(10)&amp;'生成规范'!$B$8&amp;CHAR(10)&amp;"【单张范围】"&amp;E27&amp;CHAR(10)&amp;"【本组造型约束】"&amp;INDEX('素材需求'!$F$8:$F$119,MATCH(B27,'素材需求'!$A$8:$A$119,0))&amp;CHAR(10)&amp;"【参考对象】"&amp;F27&amp;CHAR(10)&amp;"【制作规格】"&amp;I27&amp;"；"&amp;INDEX('素材需求'!$M$8:$M$119,MATCH(B27,'素材需求'!$A$8:$A$119,0))&amp;CHAR(10)&amp;"【颜色】"&amp;'生成规范'!$B$10&amp;"；"&amp;'生成规范'!$B$11&amp;CHAR(10)&amp;"【输出规则】"&amp;'生成规范'!$B$12&amp;" 后处理对齐尺寸与轴点；交付用途："&amp;H27&amp;CHAR(10)&amp;"【禁止项】"&amp;'生成规范'!$B$9&amp;"；"&amp;INDEX('素材需求'!$N$8:$N$119,MATCH(B27,'素材需求'!$A$8:$A$119,0))</x:f>
        <x:v>【交付文件】nm_v2_agent_hair_bob_glasses_hair.png
【本张任务】E03短波波头与眼镜 hair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【单张范围】只画本张：柔和灰褐短波波头，耳下整洁发缘，无头脸或眼镜；本张仅这一独立交付单元，不含其他零件、对照姿势、sheet、文字、背景或地面投影。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
【参考对象】利落圆角短波波头和现代细框眼镜；头发与镜框分图，镜片清透、无多余脸部底色。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7" s="38" t="str">
        <x:v>只画本张：柔和灰褐短波波头，耳下整洁发缘，无头脸或眼镜；本张仅这一独立交付单元，不含其他零件、对照姿势、sheet、文字、背景或地面投影。</x:v>
      </x:c>
      <x:c r="F27" s="38" t="str">
        <x:f>INDEX('素材需求'!$G$8:$G$119,MATCH(B27,'素材需求'!$A$8:$A$119,0))</x:f>
        <x:v>利落圆角短波波头和现代细框眼镜；头发与镜框分图，镜片清透、无多余脸部底色。</x:v>
      </x:c>
      <x:c r="G27" s="38" t="str">
        <x:f>INDEX('素材需求'!$B$8:$B$119,MATCH(B27,'素材需求'!$A$8:$A$119,0))</x:f>
        <x:v>P0常态</x:v>
      </x:c>
      <x:c r="H27" s="38" t="str">
        <x:v>游戏拆件／贴图</x:v>
      </x:c>
      <x:c r="I2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7" s="38" t="str">
        <x:v>art_delivery/nm_v2/characters/</x:v>
      </x:c>
      <x:c r="K27" s="45" t="str">
        <x:v>待生成</x:v>
      </x:c>
      <x:c r="L27" s="38" t="str">
        <x:v>hair</x:v>
      </x:c>
    </x:row>
    <x:row r="28" ht="300" customHeight="1">
      <x:c r="A28" s="37" t="str">
        <x:f>INDEX('素材需求'!$D$8:$D$119,MATCH(B28,'素材需求'!$A$8:$A$119,0))&amp;IF(L28="","","_"&amp;L28)&amp;".png"</x:f>
        <x:v>nm_v2_agent_hair_bob_glasses_glasses.png</x:v>
      </x:c>
      <x:c r="B28" s="37" t="str">
        <x:v>NMV2_STA_005</x:v>
      </x:c>
      <x:c r="C28" s="37" t="str">
        <x:v>E03短波波头与眼镜 glasses</x:v>
      </x:c>
      <x:c r="D28" s="37" t="str">
        <x:f>"【交付文件】"&amp;A28&amp;CHAR(10)&amp;"【本张任务】"&amp;C28&amp;CHAR(10)&amp;'生成规范'!$B$8&amp;CHAR(10)&amp;"【单张范围】"&amp;E28&amp;CHAR(10)&amp;"【本组造型约束】"&amp;INDEX('素材需求'!$F$8:$F$119,MATCH(B28,'素材需求'!$A$8:$A$119,0))&amp;CHAR(10)&amp;"【参考对象】"&amp;F28&amp;CHAR(10)&amp;"【制作规格】"&amp;I28&amp;"；"&amp;INDEX('素材需求'!$M$8:$M$119,MATCH(B28,'素材需求'!$A$8:$A$119,0))&amp;CHAR(10)&amp;"【颜色】"&amp;'生成规范'!$B$10&amp;"；"&amp;'生成规范'!$B$11&amp;CHAR(10)&amp;"【输出规则】"&amp;'生成规范'!$B$12&amp;" 后处理对齐尺寸与轴点；交付用途："&amp;H28&amp;CHAR(10)&amp;"【禁止项】"&amp;'生成规范'!$B$9&amp;"；"&amp;INDEX('素材需求'!$N$8:$N$119,MATCH(B28,'素材需求'!$A$8:$A$119,0))</x:f>
        <x:v>【交付文件】nm_v2_agent_hair_bob_glasses_glasses.png
【本张任务】E03短波波头与眼镜 glasses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【单张范围】只画本张：一副细蓝灰框眼镜，镜片透明，眼间留空，无头脸和头发；本张仅这一独立交付单元，不含其他零件、对照姿势、sheet、文字、背景或地面投影。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
【参考对象】利落圆角短波波头和现代细框眼镜；头发与镜框分图，镜片清透、无多余脸部底色。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8" s="37" t="str">
        <x:v>只画本张：一副细蓝灰框眼镜，镜片透明，眼间留空，无头脸和头发；本张仅这一独立交付单元，不含其他零件、对照姿势、sheet、文字、背景或地面投影。</x:v>
      </x:c>
      <x:c r="F28" s="37" t="str">
        <x:f>INDEX('素材需求'!$G$8:$G$119,MATCH(B28,'素材需求'!$A$8:$A$119,0))</x:f>
        <x:v>利落圆角短波波头和现代细框眼镜；头发与镜框分图，镜片清透、无多余脸部底色。</x:v>
      </x:c>
      <x:c r="G28" s="37" t="str">
        <x:f>INDEX('素材需求'!$B$8:$B$119,MATCH(B28,'素材需求'!$A$8:$A$119,0))</x:f>
        <x:v>P0常态</x:v>
      </x:c>
      <x:c r="H28" s="37" t="str">
        <x:v>游戏拆件／贴图</x:v>
      </x:c>
      <x:c r="I2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8" s="37" t="str">
        <x:v>art_delivery/nm_v2/characters/</x:v>
      </x:c>
      <x:c r="K28" s="45" t="str">
        <x:v>待生成</x:v>
      </x:c>
      <x:c r="L28" s="37" t="str">
        <x:v>glasses</x:v>
      </x:c>
    </x:row>
    <x:row r="29" ht="300" customHeight="1">
      <x:c r="A29" s="38" t="str">
        <x:f>INDEX('素材需求'!$D$8:$D$119,MATCH(B29,'素材需求'!$A$8:$A$119,0))&amp;IF(L29="","","_"&amp;L29)&amp;".png"</x:f>
        <x:v>nm_v2_agent_hair_ponytail_front_hair.png</x:v>
      </x:c>
      <x:c r="B29" s="38" t="str">
        <x:v>NMV2_STA_006</x:v>
      </x:c>
      <x:c r="C29" s="38" t="str">
        <x:v>E04束发与短马尾 front_hair</x:v>
      </x:c>
      <x:c r="D29" s="38" t="str">
        <x:f>"【交付文件】"&amp;A29&amp;CHAR(10)&amp;"【本张任务】"&amp;C29&amp;CHAR(10)&amp;'生成规范'!$B$8&amp;CHAR(10)&amp;"【单张范围】"&amp;E29&amp;CHAR(10)&amp;"【本组造型约束】"&amp;INDEX('素材需求'!$F$8:$F$119,MATCH(B29,'素材需求'!$A$8:$A$119,0))&amp;CHAR(10)&amp;"【参考对象】"&amp;F29&amp;CHAR(10)&amp;"【制作规格】"&amp;I29&amp;"；"&amp;INDEX('素材需求'!$M$8:$M$119,MATCH(B29,'素材需求'!$A$8:$A$119,0))&amp;CHAR(10)&amp;"【颜色】"&amp;'生成规范'!$B$10&amp;"；"&amp;'生成规范'!$B$11&amp;CHAR(10)&amp;"【输出规则】"&amp;'生成规范'!$B$12&amp;" 后处理对齐尺寸与轴点；交付用途："&amp;H29&amp;CHAR(10)&amp;"【禁止项】"&amp;'生成规范'!$B$9&amp;"；"&amp;INDEX('素材需求'!$N$8:$N$119,MATCH(B29,'素材需求'!$A$8:$A$119,0))</x:f>
        <x:v>【交付文件】nm_v2_agent_hair_ponytail_front_hair.png
【本张任务】E04束发与短马尾 front_hair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【单张范围】只画本张：深棕前层束发，少量自然发束、额头干净；无头脸和马尾；本张仅这一独立交付单元，不含其他零件、对照姿势、sheet、文字、背景或地面投影。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
【参考对象】舒适扎起的中短马尾，前发沿额头、后马尾有清楚发根；自然不凌乱，不遮职业领口。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9" s="38" t="str">
        <x:v>只画本张：深棕前层束发，少量自然发束、额头干净；无头脸和马尾；本张仅这一独立交付单元，不含其他零件、对照姿势、sheet、文字、背景或地面投影。</x:v>
      </x:c>
      <x:c r="F29" s="38" t="str">
        <x:f>INDEX('素材需求'!$G$8:$G$119,MATCH(B29,'素材需求'!$A$8:$A$119,0))</x:f>
        <x:v>舒适扎起的中短马尾，前发沿额头、后马尾有清楚发根；自然不凌乱，不遮职业领口。</x:v>
      </x:c>
      <x:c r="G29" s="38" t="str">
        <x:f>INDEX('素材需求'!$B$8:$B$119,MATCH(B29,'素材需求'!$A$8:$A$119,0))</x:f>
        <x:v>P0常态</x:v>
      </x:c>
      <x:c r="H29" s="38" t="str">
        <x:v>游戏拆件／贴图</x:v>
      </x:c>
      <x:c r="I2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9" s="38" t="str">
        <x:v>art_delivery/nm_v2/characters/</x:v>
      </x:c>
      <x:c r="K29" s="45" t="str">
        <x:v>待生成</x:v>
      </x:c>
      <x:c r="L29" s="38" t="str">
        <x:v>front_hair</x:v>
      </x:c>
    </x:row>
    <x:row r="30" ht="300" customHeight="1">
      <x:c r="A30" s="37" t="str">
        <x:f>INDEX('素材需求'!$D$8:$D$119,MATCH(B30,'素材需求'!$A$8:$A$119,0))&amp;IF(L30="","","_"&amp;L30)&amp;".png"</x:f>
        <x:v>nm_v2_agent_hair_ponytail_rear_ponytail.png</x:v>
      </x:c>
      <x:c r="B30" s="37" t="str">
        <x:v>NMV2_STA_006</x:v>
      </x:c>
      <x:c r="C30" s="37" t="str">
        <x:v>E04束发与短马尾 rear_ponytail</x:v>
      </x:c>
      <x:c r="D30" s="37" t="str">
        <x:f>"【交付文件】"&amp;A30&amp;CHAR(10)&amp;"【本张任务】"&amp;C30&amp;CHAR(10)&amp;'生成规范'!$B$8&amp;CHAR(10)&amp;"【单张范围】"&amp;E30&amp;CHAR(10)&amp;"【本组造型约束】"&amp;INDEX('素材需求'!$F$8:$F$119,MATCH(B30,'素材需求'!$A$8:$A$119,0))&amp;CHAR(10)&amp;"【参考对象】"&amp;F30&amp;CHAR(10)&amp;"【制作规格】"&amp;I30&amp;"；"&amp;INDEX('素材需求'!$M$8:$M$119,MATCH(B30,'素材需求'!$A$8:$A$119,0))&amp;CHAR(10)&amp;"【颜色】"&amp;'生成规范'!$B$10&amp;"；"&amp;'生成规范'!$B$11&amp;CHAR(10)&amp;"【输出规则】"&amp;'生成规范'!$B$12&amp;" 后处理对齐尺寸与轴点；交付用途："&amp;H30&amp;CHAR(10)&amp;"【禁止项】"&amp;'生成规范'!$B$9&amp;"；"&amp;INDEX('素材需求'!$N$8:$N$119,MATCH(B30,'素材需求'!$A$8:$A$119,0))</x:f>
        <x:v>【交付文件】nm_v2_agent_hair_ponytail_rear_ponytail.png
【本张任务】E04束发与短马尾 rear_ponytail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【单张范围】只画本张：一束后层短马尾，扎点与下垂尾端明确；无头脸和前发；本张仅这一独立交付单元，不含其他零件、对照姿势、sheet、文字、背景或地面投影。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
【参考对象】舒适扎起的中短马尾，前发沿额头、后马尾有清楚发根；自然不凌乱，不遮职业领口。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30" s="37" t="str">
        <x:v>只画本张：一束后层短马尾，扎点与下垂尾端明确；无头脸和前发；本张仅这一独立交付单元，不含其他零件、对照姿势、sheet、文字、背景或地面投影。</x:v>
      </x:c>
      <x:c r="F30" s="37" t="str">
        <x:f>INDEX('素材需求'!$G$8:$G$119,MATCH(B30,'素材需求'!$A$8:$A$119,0))</x:f>
        <x:v>舒适扎起的中短马尾，前发沿额头、后马尾有清楚发根；自然不凌乱，不遮职业领口。</x:v>
      </x:c>
      <x:c r="G30" s="37" t="str">
        <x:f>INDEX('素材需求'!$B$8:$B$119,MATCH(B30,'素材需求'!$A$8:$A$119,0))</x:f>
        <x:v>P0常态</x:v>
      </x:c>
      <x:c r="H30" s="37" t="str">
        <x:v>游戏拆件／贴图</x:v>
      </x:c>
      <x:c r="I3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30" s="37" t="str">
        <x:v>art_delivery/nm_v2/characters/</x:v>
      </x:c>
      <x:c r="K30" s="45" t="str">
        <x:v>待生成</x:v>
      </x:c>
      <x:c r="L30" s="37" t="str">
        <x:v>rear_ponytail</x:v>
      </x:c>
    </x:row>
    <x:row r="31" ht="300" customHeight="1">
      <x:c r="A31" s="38" t="str">
        <x:f>INDEX('素材需求'!$D$8:$D$119,MATCH(B31,'素材需求'!$A$8:$A$119,0))&amp;IF(L31="","","_"&amp;L31)&amp;".png"</x:f>
        <x:v>nm_v2_agent_hair_close_crop_hair.png</x:v>
      </x:c>
      <x:c r="B31" s="38" t="str">
        <x:v>NMV2_STA_007</x:v>
      </x:c>
      <x:c r="C31" s="38" t="str">
        <x:v>E05贴头短发 hair</x:v>
      </x:c>
      <x:c r="D31" s="38" t="str">
        <x:f>"【交付文件】"&amp;A31&amp;CHAR(10)&amp;"【本张任务】"&amp;C31&amp;CHAR(10)&amp;'生成规范'!$B$8&amp;CHAR(10)&amp;"【单张范围】"&amp;E31&amp;CHAR(10)&amp;"【本组造型约束】"&amp;INDEX('素材需求'!$F$8:$F$119,MATCH(B31,'素材需求'!$A$8:$A$119,0))&amp;CHAR(10)&amp;"【参考对象】"&amp;F31&amp;CHAR(10)&amp;"【制作规格】"&amp;I31&amp;"；"&amp;INDEX('素材需求'!$M$8:$M$119,MATCH(B31,'素材需求'!$A$8:$A$119,0))&amp;CHAR(10)&amp;"【颜色】"&amp;'生成规范'!$B$10&amp;"；"&amp;'生成规范'!$B$11&amp;CHAR(10)&amp;"【输出规则】"&amp;'生成规范'!$B$12&amp;" 后处理对齐尺寸与轴点；交付用途："&amp;H31&amp;CHAR(10)&amp;"【禁止项】"&amp;'生成规范'!$B$9&amp;"；"&amp;INDEX('素材需求'!$N$8:$N$119,MATCH(B31,'素材需求'!$A$8:$A$119,0))</x:f>
        <x:v>【交付文件】nm_v2_agent_hair_close_crop_hair.png
【本张任务】E05贴头短发 hair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【单张范围】只画本张：低矮贴头短发整体，灰蓝黑发色与整洁额线；不画成光头或头盔，无头脸；本张仅这一独立交付单元，不含其他零件、对照姿势、sheet、文字、背景或地面投影。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
【参考对象】简洁贴头短寸发，头皮轮廓自然、深色块克制，适合现代设施职员。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31" s="38" t="str">
        <x:v>只画本张：低矮贴头短发整体，灰蓝黑发色与整洁额线；不画成光头或头盔，无头脸；本张仅这一独立交付单元，不含其他零件、对照姿势、sheet、文字、背景或地面投影。</x:v>
      </x:c>
      <x:c r="F31" s="38" t="str">
        <x:f>INDEX('素材需求'!$G$8:$G$119,MATCH(B31,'素材需求'!$A$8:$A$119,0))</x:f>
        <x:v>简洁贴头短寸发，头皮轮廓自然、深色块克制，适合现代设施职员。</x:v>
      </x:c>
      <x:c r="G31" s="38" t="str">
        <x:f>INDEX('素材需求'!$B$8:$B$119,MATCH(B31,'素材需求'!$A$8:$A$119,0))</x:f>
        <x:v>P0常态</x:v>
      </x:c>
      <x:c r="H31" s="38" t="str">
        <x:v>游戏拆件／贴图</x:v>
      </x:c>
      <x:c r="I3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31" s="38" t="str">
        <x:v>art_delivery/nm_v2/characters/</x:v>
      </x:c>
      <x:c r="K31" s="45" t="str">
        <x:v>待生成</x:v>
      </x:c>
      <x:c r="L31" s="38" t="str">
        <x:v>hair</x:v>
      </x:c>
    </x:row>
    <x:row r="32" ht="300" customHeight="1">
      <x:c r="A32" s="37" t="str">
        <x:f>INDEX('素材需求'!$D$8:$D$119,MATCH(B32,'素材需求'!$A$8:$A$119,0))&amp;IF(L32="","","_"&amp;L32)&amp;".png"</x:f>
        <x:v>nm_v2_agent_hair_bun_front_hair.png</x:v>
      </x:c>
      <x:c r="B32" s="37" t="str">
        <x:v>NMV2_STA_008</x:v>
      </x:c>
      <x:c r="C32" s="37" t="str">
        <x:v>E06盘发 front_hair</x:v>
      </x:c>
      <x:c r="D32" s="37" t="str">
        <x:f>"【交付文件】"&amp;A32&amp;CHAR(10)&amp;"【本张任务】"&amp;C32&amp;CHAR(10)&amp;'生成规范'!$B$8&amp;CHAR(10)&amp;"【单张范围】"&amp;E32&amp;CHAR(10)&amp;"【本组造型约束】"&amp;INDEX('素材需求'!$F$8:$F$119,MATCH(B32,'素材需求'!$A$8:$A$119,0))&amp;CHAR(10)&amp;"【参考对象】"&amp;F32&amp;CHAR(10)&amp;"【制作规格】"&amp;I32&amp;"；"&amp;INDEX('素材需求'!$M$8:$M$119,MATCH(B32,'素材需求'!$A$8:$A$119,0))&amp;CHAR(10)&amp;"【颜色】"&amp;'生成规范'!$B$10&amp;"；"&amp;'生成规范'!$B$11&amp;CHAR(10)&amp;"【输出规则】"&amp;'生成规范'!$B$12&amp;" 后处理对齐尺寸与轴点；交付用途："&amp;H32&amp;CHAR(10)&amp;"【禁止项】"&amp;'生成规范'!$B$9&amp;"；"&amp;INDEX('素材需求'!$N$8:$N$119,MATCH(B32,'素材需求'!$A$8:$A$119,0))</x:f>
        <x:v>【交付文件】nm_v2_agent_hair_bun_front_hair.png
【本张任务】E06盘发 front_hair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【单张范围】只画本张：自然棕灰侧分前发片，额线舒适、眼位留空；无头脸或盘髻；本张仅这一独立交付单元，不含其他零件、对照姿势、sheet、文字、背景或地面投影。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
【参考对象】现代职场的小圆盘髻与整齐前发；发髻在后上方、根部明确，前后层分图，不做夸张古装头饰。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32" s="37" t="str">
        <x:v>只画本张：自然棕灰侧分前发片，额线舒适、眼位留空；无头脸或盘髻；本张仅这一独立交付单元，不含其他零件、对照姿势、sheet、文字、背景或地面投影。</x:v>
      </x:c>
      <x:c r="F32" s="37" t="str">
        <x:f>INDEX('素材需求'!$G$8:$G$119,MATCH(B32,'素材需求'!$A$8:$A$119,0))</x:f>
        <x:v>现代职场的小圆盘髻与整齐前发；发髻在后上方、根部明确，前后层分图，不做夸张古装头饰。</x:v>
      </x:c>
      <x:c r="G32" s="37" t="str">
        <x:f>INDEX('素材需求'!$B$8:$B$119,MATCH(B32,'素材需求'!$A$8:$A$119,0))</x:f>
        <x:v>P0常态</x:v>
      </x:c>
      <x:c r="H32" s="37" t="str">
        <x:v>游戏拆件／贴图</x:v>
      </x:c>
      <x:c r="I3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32" s="37" t="str">
        <x:v>art_delivery/nm_v2/characters/</x:v>
      </x:c>
      <x:c r="K32" s="45" t="str">
        <x:v>待生成</x:v>
      </x:c>
      <x:c r="L32" s="37" t="str">
        <x:v>front_hair</x:v>
      </x:c>
    </x:row>
    <x:row r="33" ht="300" customHeight="1">
      <x:c r="A33" s="38" t="str">
        <x:f>INDEX('素材需求'!$D$8:$D$119,MATCH(B33,'素材需求'!$A$8:$A$119,0))&amp;IF(L33="","","_"&amp;L33)&amp;".png"</x:f>
        <x:v>nm_v2_agent_hair_bun_rear_bun.png</x:v>
      </x:c>
      <x:c r="B33" s="38" t="str">
        <x:v>NMV2_STA_008</x:v>
      </x:c>
      <x:c r="C33" s="38" t="str">
        <x:v>E06盘发 rear_bun</x:v>
      </x:c>
      <x:c r="D33" s="38" t="str">
        <x:f>"【交付文件】"&amp;A33&amp;CHAR(10)&amp;"【本张任务】"&amp;C33&amp;CHAR(10)&amp;'生成规范'!$B$8&amp;CHAR(10)&amp;"【单张范围】"&amp;E33&amp;CHAR(10)&amp;"【本组造型约束】"&amp;INDEX('素材需求'!$F$8:$F$119,MATCH(B33,'素材需求'!$A$8:$A$119,0))&amp;CHAR(10)&amp;"【参考对象】"&amp;F33&amp;CHAR(10)&amp;"【制作规格】"&amp;I33&amp;"；"&amp;INDEX('素材需求'!$M$8:$M$119,MATCH(B33,'素材需求'!$A$8:$A$119,0))&amp;CHAR(10)&amp;"【颜色】"&amp;'生成规范'!$B$10&amp;"；"&amp;'生成规范'!$B$11&amp;CHAR(10)&amp;"【输出规则】"&amp;'生成规范'!$B$12&amp;" 后处理对齐尺寸与轴点；交付用途："&amp;H33&amp;CHAR(10)&amp;"【禁止项】"&amp;'生成规范'!$B$9&amp;"；"&amp;INDEX('素材需求'!$N$8:$N$119,MATCH(B33,'素材需求'!$A$8:$A$119,0))</x:f>
        <x:v>【交付文件】nm_v2_agent_hair_bun_rear_bun.png
【本张任务】E06盘发 rear_bun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【单张范围】只画本张：后上方小圆盘髻，扎点清楚，少量碎发；无头脸或前发；本张仅这一独立交付单元，不含其他零件、对照姿势、sheet、文字、背景或地面投影。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发型共用同一头壳与五官挂点；轮廓区别优先于发色差异，头发干净自然，不用杂乱尖刺和病态发色。
【参考对象】现代职场的小圆盘髻与整齐前发；发髻在后上方、根部明确，前后层分图，不做夸张古装头饰。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33" s="38" t="str">
        <x:v>只画本张：后上方小圆盘髻，扎点清楚，少量碎发；无头脸或前发；本张仅这一独立交付单元，不含其他零件、对照姿势、sheet、文字、背景或地面投影。</x:v>
      </x:c>
      <x:c r="F33" s="38" t="str">
        <x:f>INDEX('素材需求'!$G$8:$G$119,MATCH(B33,'素材需求'!$A$8:$A$119,0))</x:f>
        <x:v>现代职场的小圆盘髻与整齐前发；发髻在后上方、根部明确，前后层分图，不做夸张古装头饰。</x:v>
      </x:c>
      <x:c r="G33" s="38" t="str">
        <x:f>INDEX('素材需求'!$B$8:$B$119,MATCH(B33,'素材需求'!$A$8:$A$119,0))</x:f>
        <x:v>P0常态</x:v>
      </x:c>
      <x:c r="H33" s="38" t="str">
        <x:v>游戏拆件／贴图</x:v>
      </x:c>
      <x:c r="I3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33" s="38" t="str">
        <x:v>art_delivery/nm_v2/characters/</x:v>
      </x:c>
      <x:c r="K33" s="45" t="str">
        <x:v>待生成</x:v>
      </x:c>
      <x:c r="L33" s="38" t="str">
        <x:v>rear_bun</x:v>
      </x:c>
    </x:row>
    <x:row r="34" ht="300" customHeight="1">
      <x:c r="A34" s="37" t="str">
        <x:f>INDEX('素材需求'!$D$8:$D$119,MATCH(B34,'素材需求'!$A$8:$A$119,0))&amp;IF(L34="","","_"&amp;L34)&amp;".png"</x:f>
        <x:v>nm_v2_agent_face_states_neutral.png</x:v>
      </x:c>
      <x:c r="B34" s="37" t="str">
        <x:v>NMV2_STA_009</x:v>
      </x:c>
      <x:c r="C34" s="37" t="str">
        <x:v>专注中性面部</x:v>
      </x:c>
      <x:c r="D34" s="37" t="str">
        <x:f>"【交付文件】"&amp;A34&amp;CHAR(10)&amp;"【本张任务】"&amp;C34&amp;CHAR(10)&amp;'生成规范'!$B$8&amp;CHAR(10)&amp;"【单张范围】"&amp;E34&amp;CHAR(10)&amp;"【本组造型约束】"&amp;INDEX('素材需求'!$F$8:$F$119,MATCH(B34,'素材需求'!$A$8:$A$119,0))&amp;CHAR(10)&amp;"【参考对象】"&amp;F34&amp;CHAR(10)&amp;"【制作规格】"&amp;I34&amp;"；"&amp;INDEX('素材需求'!$M$8:$M$119,MATCH(B34,'素材需求'!$A$8:$A$119,0))&amp;CHAR(10)&amp;"【颜色】"&amp;'生成规范'!$B$10&amp;"；"&amp;'生成规范'!$B$11&amp;CHAR(10)&amp;"【输出规则】"&amp;'生成规范'!$B$12&amp;" 后处理对齐尺寸与轴点；交付用途："&amp;H34&amp;CHAR(10)&amp;"【禁止项】"&amp;'生成规范'!$B$9&amp;"；"&amp;INDEX('素材需求'!$N$8:$N$119,MATCH(B34,'素材需求'!$A$8:$A$119,0))</x:f>
        <x:v>【交付文件】nm_v2_agent_face_states_neutral.png
【本张任务】专注中性面部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【单张范围】只画本张：自然专注的眉眼鼻嘴透明叠层，眼睛大小接近、嘴角平静；无肤色面片或头壳；本张仅这一独立交付单元，不含其他零件、对照姿势、sheet、文字、背景或地面投影。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四组五官共用眼鼻嘴基准；中性神情专注而舒适，恐慌与受伤明确但不鬼脸化，倒地仍为本日失去行动能力。
【参考对象】简化可读的现代卡通人脸眉眼口，正常亲和、惊慌、受击、重伤闭眼四种表情；保持同一眼距与脸部挂点，透明覆盖层不带完整头。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34" s="37" t="str">
        <x:v>只画本张：自然专注的眉眼鼻嘴透明叠层，眼睛大小接近、嘴角平静；无肤色面片或头壳；本张仅这一独立交付单元，不含其他零件、对照姿势、sheet、文字、背景或地面投影。</x:v>
      </x:c>
      <x:c r="F34" s="37" t="str">
        <x:f>INDEX('素材需求'!$G$8:$G$119,MATCH(B34,'素材需求'!$A$8:$A$119,0))</x:f>
        <x:v>简化可读的现代卡通人脸眉眼口，正常亲和、惊慌、受击、重伤闭眼四种表情；保持同一眼距与脸部挂点，透明覆盖层不带完整头。</x:v>
      </x:c>
      <x:c r="G34" s="37" t="str">
        <x:f>INDEX('素材需求'!$B$8:$B$119,MATCH(B34,'素材需求'!$A$8:$A$119,0))</x:f>
        <x:v>P0常态</x:v>
      </x:c>
      <x:c r="H34" s="37" t="str">
        <x:v>游戏拆件／贴图</x:v>
      </x:c>
      <x:c r="I3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34" s="37" t="str">
        <x:v>art_delivery/nm_v2/characters/</x:v>
      </x:c>
      <x:c r="K34" s="45" t="str">
        <x:v>待生成</x:v>
      </x:c>
      <x:c r="L34" s="37" t="str">
        <x:v>neutral</x:v>
      </x:c>
    </x:row>
    <x:row r="35" ht="300" customHeight="1">
      <x:c r="A35" s="38" t="str">
        <x:f>INDEX('素材需求'!$D$8:$D$119,MATCH(B35,'素材需求'!$A$8:$A$119,0))&amp;IF(L35="","","_"&amp;L35)&amp;".png"</x:f>
        <x:v>nm_v2_agent_face_states_panic.png</x:v>
      </x:c>
      <x:c r="B35" s="38" t="str">
        <x:v>NMV2_STA_009</x:v>
      </x:c>
      <x:c r="C35" s="38" t="str">
        <x:v>恐慌面部</x:v>
      </x:c>
      <x:c r="D35" s="38" t="str">
        <x:f>"【交付文件】"&amp;A35&amp;CHAR(10)&amp;"【本张任务】"&amp;C35&amp;CHAR(10)&amp;'生成规范'!$B$8&amp;CHAR(10)&amp;"【单张范围】"&amp;E35&amp;CHAR(10)&amp;"【本组造型约束】"&amp;INDEX('素材需求'!$F$8:$F$119,MATCH(B35,'素材需求'!$A$8:$A$119,0))&amp;CHAR(10)&amp;"【参考对象】"&amp;F35&amp;CHAR(10)&amp;"【制作规格】"&amp;I35&amp;"；"&amp;INDEX('素材需求'!$M$8:$M$119,MATCH(B35,'素材需求'!$A$8:$A$119,0))&amp;CHAR(10)&amp;"【颜色】"&amp;'生成规范'!$B$10&amp;"；"&amp;'生成规范'!$B$11&amp;CHAR(10)&amp;"【输出规则】"&amp;'生成规范'!$B$12&amp;" 后处理对齐尺寸与轴点；交付用途："&amp;H35&amp;CHAR(10)&amp;"【禁止项】"&amp;'生成规范'!$B$9&amp;"；"&amp;INDEX('素材需求'!$N$8:$N$119,MATCH(B35,'素材需求'!$A$8:$A$119,0))</x:f>
        <x:v>【交付文件】nm_v2_agent_face_states_panic.png
【本张任务】恐慌面部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【单张范围】只画本张：眉抬高、双眼睁大、短张口的惊慌五官透明叠层；无空眼、鬼脸、肤色面片；本张仅这一独立交付单元，不含其他零件、对照姿势、sheet、文字、背景或地面投影。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四组五官共用眼鼻嘴基准；中性神情专注而舒适，恐慌与受伤明确但不鬼脸化，倒地仍为本日失去行动能力。
【参考对象】简化可读的现代卡通人脸眉眼口，正常亲和、惊慌、受击、重伤闭眼四种表情；保持同一眼距与脸部挂点，透明覆盖层不带完整头。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35" s="38" t="str">
        <x:v>只画本张：眉抬高、双眼睁大、短张口的惊慌五官透明叠层；无空眼、鬼脸、肤色面片；本张仅这一独立交付单元，不含其他零件、对照姿势、sheet、文字、背景或地面投影。</x:v>
      </x:c>
      <x:c r="F35" s="38" t="str">
        <x:f>INDEX('素材需求'!$G$8:$G$119,MATCH(B35,'素材需求'!$A$8:$A$119,0))</x:f>
        <x:v>简化可读的现代卡通人脸眉眼口，正常亲和、惊慌、受击、重伤闭眼四种表情；保持同一眼距与脸部挂点，透明覆盖层不带完整头。</x:v>
      </x:c>
      <x:c r="G35" s="38" t="str">
        <x:f>INDEX('素材需求'!$B$8:$B$119,MATCH(B35,'素材需求'!$A$8:$A$119,0))</x:f>
        <x:v>P0常态</x:v>
      </x:c>
      <x:c r="H35" s="38" t="str">
        <x:v>游戏拆件／贴图</x:v>
      </x:c>
      <x:c r="I3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35" s="38" t="str">
        <x:v>art_delivery/nm_v2/characters/</x:v>
      </x:c>
      <x:c r="K35" s="45" t="str">
        <x:v>待生成</x:v>
      </x:c>
      <x:c r="L35" s="38" t="str">
        <x:v>panic</x:v>
      </x:c>
    </x:row>
    <x:row r="36" ht="300" customHeight="1">
      <x:c r="A36" s="37" t="str">
        <x:f>INDEX('素材需求'!$D$8:$D$119,MATCH(B36,'素材需求'!$A$8:$A$119,0))&amp;IF(L36="","","_"&amp;L36)&amp;".png"</x:f>
        <x:v>nm_v2_agent_face_states_hurt.png</x:v>
      </x:c>
      <x:c r="B36" s="37" t="str">
        <x:v>NMV2_STA_009</x:v>
      </x:c>
      <x:c r="C36" s="37" t="str">
        <x:v>受击/低HP面部</x:v>
      </x:c>
      <x:c r="D36" s="37" t="str">
        <x:f>"【交付文件】"&amp;A36&amp;CHAR(10)&amp;"【本张任务】"&amp;C36&amp;CHAR(10)&amp;'生成规范'!$B$8&amp;CHAR(10)&amp;"【单张范围】"&amp;E36&amp;CHAR(10)&amp;"【本组造型约束】"&amp;INDEX('素材需求'!$F$8:$F$119,MATCH(B36,'素材需求'!$A$8:$A$119,0))&amp;CHAR(10)&amp;"【参考对象】"&amp;F36&amp;CHAR(10)&amp;"【制作规格】"&amp;I36&amp;"；"&amp;INDEX('素材需求'!$M$8:$M$119,MATCH(B36,'素材需求'!$A$8:$A$119,0))&amp;CHAR(10)&amp;"【颜色】"&amp;'生成规范'!$B$10&amp;"；"&amp;'生成规范'!$B$11&amp;CHAR(10)&amp;"【输出规则】"&amp;'生成规范'!$B$12&amp;" 后处理对齐尺寸与轴点；交付用途："&amp;H36&amp;CHAR(10)&amp;"【禁止项】"&amp;'生成规范'!$B$9&amp;"；"&amp;INDEX('素材需求'!$N$8:$N$119,MATCH(B36,'素材需求'!$A$8:$A$119,0))</x:f>
        <x:v>【交付文件】nm_v2_agent_face_states_hurt.png
【本张任务】受击/低HP面部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【单张范围】只画本张：轻皱眉、一眼微收、嘴角收紧的五官透明叠层；无血、伤口、肤色面片；本张仅这一独立交付单元，不含其他零件、对照姿势、sheet、文字、背景或地面投影。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四组五官共用眼鼻嘴基准；中性神情专注而舒适，恐慌与受伤明确但不鬼脸化，倒地仍为本日失去行动能力。
【参考对象】简化可读的现代卡通人脸眉眼口，正常亲和、惊慌、受击、重伤闭眼四种表情；保持同一眼距与脸部挂点，透明覆盖层不带完整头。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36" s="37" t="str">
        <x:v>只画本张：轻皱眉、一眼微收、嘴角收紧的五官透明叠层；无血、伤口、肤色面片；本张仅这一独立交付单元，不含其他零件、对照姿势、sheet、文字、背景或地面投影。</x:v>
      </x:c>
      <x:c r="F36" s="37" t="str">
        <x:f>INDEX('素材需求'!$G$8:$G$119,MATCH(B36,'素材需求'!$A$8:$A$119,0))</x:f>
        <x:v>简化可读的现代卡通人脸眉眼口，正常亲和、惊慌、受击、重伤闭眼四种表情；保持同一眼距与脸部挂点，透明覆盖层不带完整头。</x:v>
      </x:c>
      <x:c r="G36" s="37" t="str">
        <x:f>INDEX('素材需求'!$B$8:$B$119,MATCH(B36,'素材需求'!$A$8:$A$119,0))</x:f>
        <x:v>P0常态</x:v>
      </x:c>
      <x:c r="H36" s="37" t="str">
        <x:v>游戏拆件／贴图</x:v>
      </x:c>
      <x:c r="I3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36" s="37" t="str">
        <x:v>art_delivery/nm_v2/characters/</x:v>
      </x:c>
      <x:c r="K36" s="45" t="str">
        <x:v>待生成</x:v>
      </x:c>
      <x:c r="L36" s="37" t="str">
        <x:v>hurt</x:v>
      </x:c>
    </x:row>
    <x:row r="37" ht="314.25" customHeight="1">
      <x:c r="A37" s="38" t="str">
        <x:f>INDEX('素材需求'!$D$8:$D$119,MATCH(B37,'素材需求'!$A$8:$A$119,0))&amp;IF(L37="","","_"&amp;L37)&amp;".png"</x:f>
        <x:v>nm_v2_agent_face_states_incapacitated.png</x:v>
      </x:c>
      <x:c r="B37" s="38" t="str">
        <x:v>NMV2_STA_009</x:v>
      </x:c>
      <x:c r="C37" s="38" t="str">
        <x:v>本日离场面部</x:v>
      </x:c>
      <x:c r="D37" s="38" t="str">
        <x:f>"【交付文件】"&amp;A37&amp;CHAR(10)&amp;"【本张任务】"&amp;C37&amp;CHAR(10)&amp;'生成规范'!$B$8&amp;CHAR(10)&amp;"【单张范围】"&amp;E37&amp;CHAR(10)&amp;"【本组造型约束】"&amp;INDEX('素材需求'!$F$8:$F$119,MATCH(B37,'素材需求'!$A$8:$A$119,0))&amp;CHAR(10)&amp;"【参考对象】"&amp;F37&amp;CHAR(10)&amp;"【制作规格】"&amp;I37&amp;"；"&amp;INDEX('素材需求'!$M$8:$M$119,MATCH(B37,'素材需求'!$A$8:$A$119,0))&amp;CHAR(10)&amp;"【颜色】"&amp;'生成规范'!$B$10&amp;"；"&amp;'生成规范'!$B$11&amp;CHAR(10)&amp;"【输出规则】"&amp;'生成规范'!$B$12&amp;" 后处理对齐尺寸与轴点；交付用途："&amp;H37&amp;CHAR(10)&amp;"【禁止项】"&amp;'生成规范'!$B$9&amp;"；"&amp;INDEX('素材需求'!$N$8:$N$119,MATCH(B37,'素材需求'!$A$8:$A$119,0))</x:f>
        <x:v>【交付文件】nm_v2_agent_face_states_incapacitated.png
【本张任务】本日离场面部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【单张范围】只画本张：闭眼或低垂眼、放松嘴的五官透明叠层，仍是活着的受伤员工；无死亡符号、肤色面片；本张仅这一独立交付单元，不含其他零件、对照姿势、sheet、文字、背景或地面投影。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四组五官共用眼鼻嘴基准；中性神情专注而舒适，恐慌与受伤明确但不鬼脸化，倒地仍为本日失去行动能力。
【参考对象】简化可读的现代卡通人脸眉眼口，正常亲和、惊慌、受击、重伤闭眼四种表情；保持同一眼距与脸部挂点，透明覆盖层不带完整头。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37" s="38" t="str">
        <x:v>只画本张：闭眼或低垂眼、放松嘴的五官透明叠层，仍是活着的受伤员工；无死亡符号、肤色面片；本张仅这一独立交付单元，不含其他零件、对照姿势、sheet、文字、背景或地面投影。</x:v>
      </x:c>
      <x:c r="F37" s="38" t="str">
        <x:f>INDEX('素材需求'!$G$8:$G$119,MATCH(B37,'素材需求'!$A$8:$A$119,0))</x:f>
        <x:v>简化可读的现代卡通人脸眉眼口，正常亲和、惊慌、受击、重伤闭眼四种表情；保持同一眼距与脸部挂点，透明覆盖层不带完整头。</x:v>
      </x:c>
      <x:c r="G37" s="38" t="str">
        <x:f>INDEX('素材需求'!$B$8:$B$119,MATCH(B37,'素材需求'!$A$8:$A$119,0))</x:f>
        <x:v>P0常态</x:v>
      </x:c>
      <x:c r="H37" s="38" t="str">
        <x:v>游戏拆件／贴图</x:v>
      </x:c>
      <x:c r="I3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37" s="38" t="str">
        <x:v>art_delivery/nm_v2/characters/</x:v>
      </x:c>
      <x:c r="K37" s="45" t="str">
        <x:v>待生成</x:v>
      </x:c>
      <x:c r="L37" s="38" t="str">
        <x:v>incapacitated</x:v>
      </x:c>
    </x:row>
    <x:row r="38" ht="300" customHeight="1">
      <x:c r="A38" s="37" t="str">
        <x:f>INDEX('素材需求'!$D$8:$D$119,MATCH(B38,'素材需求'!$A$8:$A$119,0))&amp;IF(L38="","","_"&amp;L38)&amp;".png"</x:f>
        <x:v>nm_v2_agent_locomotion_reference_idle.png</x:v>
      </x:c>
      <x:c r="B38" s="37" t="str">
        <x:v>NMV2_STA_010</x:v>
      </x:c>
      <x:c r="C38" s="37" t="str">
        <x:v>舒展待机</x:v>
      </x:c>
      <x:c r="D38" s="37" t="str">
        <x:f>"【交付文件】"&amp;A38&amp;CHAR(10)&amp;"【本张任务】"&amp;C38&amp;CHAR(10)&amp;'生成规范'!$B$8&amp;CHAR(10)&amp;"【单张范围】"&amp;E38&amp;CHAR(10)&amp;"【本组造型约束】"&amp;INDEX('素材需求'!$F$8:$F$119,MATCH(B38,'素材需求'!$A$8:$A$119,0))&amp;CHAR(10)&amp;"【参考对象】"&amp;F38&amp;CHAR(10)&amp;"【制作规格】"&amp;I38&amp;"；"&amp;INDEX('素材需求'!$M$8:$M$119,MATCH(B38,'素材需求'!$A$8:$A$119,0))&amp;CHAR(10)&amp;"【颜色】"&amp;'生成规范'!$B$10&amp;"；"&amp;'生成规范'!$B$11&amp;CHAR(10)&amp;"【输出规则】"&amp;'生成规范'!$B$12&amp;" 后处理对齐尺寸与轴点；交付用途："&amp;H38&amp;CHAR(10)&amp;"【禁止项】"&amp;'生成规范'!$B$9&amp;"；"&amp;INDEX('素材需求'!$N$8:$N$119,MATCH(B38,'素材需求'!$A$8:$A$119,0))</x:f>
        <x:v>【交付文件】nm_v2_agent_locomotion_reference_idle.png
【本张任务】舒展待机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【单张范围】只画本张：一位完整员工的放松待机姿，身体自然直立、手臂放松、双足稳定；本张仅这一独立交付单元，不含其他零件、对照姿势、sheet、文字、背景或地面投影。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将两张呼吸参考合并为一个待机标准，双步态与双攀爬保留。 动作参考PNG仅指导后续分件动画，不是sprite帧、不是已经接入的动作；实际动画仍依赖pose.time/stride和真实状态，暂停时全部冻结。
【参考对象】正常员工的放松待机、轻快但稳的左右支撑步态及楼梯交替支撑；脚底接地、手臂自然摆动，没有神经质扭曲或跑酷动作。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38" s="37" t="str">
        <x:v>只画本张：一位完整员工的放松待机姿，身体自然直立、手臂放松、双足稳定；本张仅这一独立交付单元，不含其他零件、对照姿势、sheet、文字、背景或地面投影。</x:v>
      </x:c>
      <x:c r="F38" s="37" t="str">
        <x:f>INDEX('素材需求'!$G$8:$G$119,MATCH(B38,'素材需求'!$A$8:$A$119,0))</x:f>
        <x:v>正常员工的放松待机、轻快但稳的左右支撑步态及楼梯交替支撑；脚底接地、手臂自然摆动，没有神经质扭曲或跑酷动作。</x:v>
      </x:c>
      <x:c r="G38" s="37" t="str">
        <x:f>INDEX('素材需求'!$B$8:$B$119,MATCH(B38,'素材需求'!$A$8:$A$119,0))</x:f>
        <x:v>P0常态</x:v>
      </x:c>
      <x:c r="H38" s="37" t="str">
        <x:v>定稿／动作参考</x:v>
      </x:c>
      <x:c r="I3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38" s="37" t="str">
        <x:v>art_delivery/nm_v2/references/</x:v>
      </x:c>
      <x:c r="K38" s="45" t="str">
        <x:v>待生成</x:v>
      </x:c>
      <x:c r="L38" s="37" t="str">
        <x:v>idle</x:v>
      </x:c>
    </x:row>
    <x:row r="39" ht="300" customHeight="1">
      <x:c r="A39" s="38" t="str">
        <x:f>INDEX('素材需求'!$D$8:$D$119,MATCH(B39,'素材需求'!$A$8:$A$119,0))&amp;IF(L39="","","_"&amp;L39)&amp;".png"</x:f>
        <x:v>nm_v2_agent_locomotion_reference_walk_left.png</x:v>
      </x:c>
      <x:c r="B39" s="38" t="str">
        <x:v>NMV2_STA_010</x:v>
      </x:c>
      <x:c r="C39" s="38" t="str">
        <x:v>左脚接触</x:v>
      </x:c>
      <x:c r="D39" s="38" t="str">
        <x:f>"【交付文件】"&amp;A39&amp;CHAR(10)&amp;"【本张任务】"&amp;C39&amp;CHAR(10)&amp;'生成规范'!$B$8&amp;CHAR(10)&amp;"【单张范围】"&amp;E39&amp;CHAR(10)&amp;"【本组造型约束】"&amp;INDEX('素材需求'!$F$8:$F$119,MATCH(B39,'素材需求'!$A$8:$A$119,0))&amp;CHAR(10)&amp;"【参考对象】"&amp;F39&amp;CHAR(10)&amp;"【制作规格】"&amp;I39&amp;"；"&amp;INDEX('素材需求'!$M$8:$M$119,MATCH(B39,'素材需求'!$A$8:$A$119,0))&amp;CHAR(10)&amp;"【颜色】"&amp;'生成规范'!$B$10&amp;"；"&amp;'生成规范'!$B$11&amp;CHAR(10)&amp;"【输出规则】"&amp;'生成规范'!$B$12&amp;" 后处理对齐尺寸与轴点；交付用途："&amp;H39&amp;CHAR(10)&amp;"【禁止项】"&amp;'生成规范'!$B$9&amp;"；"&amp;INDEX('素材需求'!$N$8:$N$119,MATCH(B39,'素材需求'!$A$8:$A$119,0))</x:f>
        <x:v>【交付文件】nm_v2_agent_locomotion_reference_walk_left.png
【本张任务】左脚接触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【单张范围】只画本张：同一完整员工朝右走路的左脚着地姿，左右手脚反向，脚步利落；本张仅这一独立交付单元，不含其他零件、对照姿势、sheet、文字、背景或地面投影。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将两张呼吸参考合并为一个待机标准，双步态与双攀爬保留。 动作参考PNG仅指导后续分件动画，不是sprite帧、不是已经接入的动作；实际动画仍依赖pose.time/stride和真实状态，暂停时全部冻结。
【参考对象】正常员工的放松待机、轻快但稳的左右支撑步态及楼梯交替支撑；脚底接地、手臂自然摆动，没有神经质扭曲或跑酷动作。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39" s="38" t="str">
        <x:v>只画本张：同一完整员工朝右走路的左脚着地姿，左右手脚反向，脚步利落；本张仅这一独立交付单元，不含其他零件、对照姿势、sheet、文字、背景或地面投影。</x:v>
      </x:c>
      <x:c r="F39" s="38" t="str">
        <x:f>INDEX('素材需求'!$G$8:$G$119,MATCH(B39,'素材需求'!$A$8:$A$119,0))</x:f>
        <x:v>正常员工的放松待机、轻快但稳的左右支撑步态及楼梯交替支撑；脚底接地、手臂自然摆动，没有神经质扭曲或跑酷动作。</x:v>
      </x:c>
      <x:c r="G39" s="38" t="str">
        <x:f>INDEX('素材需求'!$B$8:$B$119,MATCH(B39,'素材需求'!$A$8:$A$119,0))</x:f>
        <x:v>P0常态</x:v>
      </x:c>
      <x:c r="H39" s="38" t="str">
        <x:v>定稿／动作参考</x:v>
      </x:c>
      <x:c r="I3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39" s="38" t="str">
        <x:v>art_delivery/nm_v2/references/</x:v>
      </x:c>
      <x:c r="K39" s="45" t="str">
        <x:v>待生成</x:v>
      </x:c>
      <x:c r="L39" s="38" t="str">
        <x:v>walk_left</x:v>
      </x:c>
    </x:row>
    <x:row r="40" ht="300" customHeight="1">
      <x:c r="A40" s="37" t="str">
        <x:f>INDEX('素材需求'!$D$8:$D$119,MATCH(B40,'素材需求'!$A$8:$A$119,0))&amp;IF(L40="","","_"&amp;L40)&amp;".png"</x:f>
        <x:v>nm_v2_agent_locomotion_reference_walk_right.png</x:v>
      </x:c>
      <x:c r="B40" s="37" t="str">
        <x:v>NMV2_STA_010</x:v>
      </x:c>
      <x:c r="C40" s="37" t="str">
        <x:v>右脚接触</x:v>
      </x:c>
      <x:c r="D40" s="37" t="str">
        <x:f>"【交付文件】"&amp;A40&amp;CHAR(10)&amp;"【本张任务】"&amp;C40&amp;CHAR(10)&amp;'生成规范'!$B$8&amp;CHAR(10)&amp;"【单张范围】"&amp;E40&amp;CHAR(10)&amp;"【本组造型约束】"&amp;INDEX('素材需求'!$F$8:$F$119,MATCH(B40,'素材需求'!$A$8:$A$119,0))&amp;CHAR(10)&amp;"【参考对象】"&amp;F40&amp;CHAR(10)&amp;"【制作规格】"&amp;I40&amp;"；"&amp;INDEX('素材需求'!$M$8:$M$119,MATCH(B40,'素材需求'!$A$8:$A$119,0))&amp;CHAR(10)&amp;"【颜色】"&amp;'生成规范'!$B$10&amp;"；"&amp;'生成规范'!$B$11&amp;CHAR(10)&amp;"【输出规则】"&amp;'生成规范'!$B$12&amp;" 后处理对齐尺寸与轴点；交付用途："&amp;H40&amp;CHAR(10)&amp;"【禁止项】"&amp;'生成规范'!$B$9&amp;"；"&amp;INDEX('素材需求'!$N$8:$N$119,MATCH(B40,'素材需求'!$A$8:$A$119,0))</x:f>
        <x:v>【交付文件】nm_v2_agent_locomotion_reference_walk_right.png
【本张任务】右脚接触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【单张范围】只画本张：同一完整员工朝右走路的右脚着地姿，保持相同躯干比例；本张仅这一独立交付单元，不含其他零件、对照姿势、sheet、文字、背景或地面投影。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将两张呼吸参考合并为一个待机标准，双步态与双攀爬保留。 动作参考PNG仅指导后续分件动画，不是sprite帧、不是已经接入的动作；实际动画仍依赖pose.time/stride和真实状态，暂停时全部冻结。
【参考对象】正常员工的放松待机、轻快但稳的左右支撑步态及楼梯交替支撑；脚底接地、手臂自然摆动，没有神经质扭曲或跑酷动作。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40" s="37" t="str">
        <x:v>只画本张：同一完整员工朝右走路的右脚着地姿，保持相同躯干比例；本张仅这一独立交付单元，不含其他零件、对照姿势、sheet、文字、背景或地面投影。</x:v>
      </x:c>
      <x:c r="F40" s="37" t="str">
        <x:f>INDEX('素材需求'!$G$8:$G$119,MATCH(B40,'素材需求'!$A$8:$A$119,0))</x:f>
        <x:v>正常员工的放松待机、轻快但稳的左右支撑步态及楼梯交替支撑；脚底接地、手臂自然摆动，没有神经质扭曲或跑酷动作。</x:v>
      </x:c>
      <x:c r="G40" s="37" t="str">
        <x:f>INDEX('素材需求'!$B$8:$B$119,MATCH(B40,'素材需求'!$A$8:$A$119,0))</x:f>
        <x:v>P0常态</x:v>
      </x:c>
      <x:c r="H40" s="37" t="str">
        <x:v>定稿／动作参考</x:v>
      </x:c>
      <x:c r="I4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40" s="37" t="str">
        <x:v>art_delivery/nm_v2/references/</x:v>
      </x:c>
      <x:c r="K40" s="45" t="str">
        <x:v>待生成</x:v>
      </x:c>
      <x:c r="L40" s="37" t="str">
        <x:v>walk_right</x:v>
      </x:c>
    </x:row>
    <x:row r="41" ht="300" customHeight="1">
      <x:c r="A41" s="38" t="str">
        <x:f>INDEX('素材需求'!$D$8:$D$119,MATCH(B41,'素材需求'!$A$8:$A$119,0))&amp;IF(L41="","","_"&amp;L41)&amp;".png"</x:f>
        <x:v>nm_v2_agent_locomotion_reference_climb_left.png</x:v>
      </x:c>
      <x:c r="B41" s="38" t="str">
        <x:v>NMV2_STA_010</x:v>
      </x:c>
      <x:c r="C41" s="38" t="str">
        <x:v>攀爬左手高</x:v>
      </x:c>
      <x:c r="D41" s="38" t="str">
        <x:f>"【交付文件】"&amp;A41&amp;CHAR(10)&amp;"【本张任务】"&amp;C41&amp;CHAR(10)&amp;'生成规范'!$B$8&amp;CHAR(10)&amp;"【单张范围】"&amp;E41&amp;CHAR(10)&amp;"【本组造型约束】"&amp;INDEX('素材需求'!$F$8:$F$119,MATCH(B41,'素材需求'!$A$8:$A$119,0))&amp;CHAR(10)&amp;"【参考对象】"&amp;F41&amp;CHAR(10)&amp;"【制作规格】"&amp;I41&amp;"；"&amp;INDEX('素材需求'!$M$8:$M$119,MATCH(B41,'素材需求'!$A$8:$A$119,0))&amp;CHAR(10)&amp;"【颜色】"&amp;'生成规范'!$B$10&amp;"；"&amp;'生成规范'!$B$11&amp;CHAR(10)&amp;"【输出规则】"&amp;'生成规范'!$B$12&amp;" 后处理对齐尺寸与轴点；交付用途："&amp;H41&amp;CHAR(10)&amp;"【禁止项】"&amp;'生成规范'!$B$9&amp;"；"&amp;INDEX('素材需求'!$N$8:$N$119,MATCH(B41,'素材需求'!$A$8:$A$119,0))</x:f>
        <x:v>【交付文件】nm_v2_agent_locomotion_reference_climb_left.png
【本张任务】攀爬左手高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【单张范围】只画本张：同一完整员工沿竖向通道攀爬、左手高右脚支撑的单姿，无通道背景；本张仅这一独立交付单元，不含其他零件、对照姿势、sheet、文字、背景或地面投影。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将两张呼吸参考合并为一个待机标准，双步态与双攀爬保留。 动作参考PNG仅指导后续分件动画，不是sprite帧、不是已经接入的动作；实际动画仍依赖pose.time/stride和真实状态，暂停时全部冻结。
【参考对象】正常员工的放松待机、轻快但稳的左右支撑步态及楼梯交替支撑；脚底接地、手臂自然摆动，没有神经质扭曲或跑酷动作。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41" s="38" t="str">
        <x:v>只画本张：同一完整员工沿竖向通道攀爬、左手高右脚支撑的单姿，无通道背景；本张仅这一独立交付单元，不含其他零件、对照姿势、sheet、文字、背景或地面投影。</x:v>
      </x:c>
      <x:c r="F41" s="38" t="str">
        <x:f>INDEX('素材需求'!$G$8:$G$119,MATCH(B41,'素材需求'!$A$8:$A$119,0))</x:f>
        <x:v>正常员工的放松待机、轻快但稳的左右支撑步态及楼梯交替支撑；脚底接地、手臂自然摆动，没有神经质扭曲或跑酷动作。</x:v>
      </x:c>
      <x:c r="G41" s="38" t="str">
        <x:f>INDEX('素材需求'!$B$8:$B$119,MATCH(B41,'素材需求'!$A$8:$A$119,0))</x:f>
        <x:v>P0常态</x:v>
      </x:c>
      <x:c r="H41" s="38" t="str">
        <x:v>定稿／动作参考</x:v>
      </x:c>
      <x:c r="I4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41" s="38" t="str">
        <x:v>art_delivery/nm_v2/references/</x:v>
      </x:c>
      <x:c r="K41" s="45" t="str">
        <x:v>待生成</x:v>
      </x:c>
      <x:c r="L41" s="38" t="str">
        <x:v>climb_left</x:v>
      </x:c>
    </x:row>
    <x:row r="42" ht="300" customHeight="1">
      <x:c r="A42" s="37" t="str">
        <x:f>INDEX('素材需求'!$D$8:$D$119,MATCH(B42,'素材需求'!$A$8:$A$119,0))&amp;IF(L42="","","_"&amp;L42)&amp;".png"</x:f>
        <x:v>nm_v2_agent_locomotion_reference_climb_right.png</x:v>
      </x:c>
      <x:c r="B42" s="37" t="str">
        <x:v>NMV2_STA_010</x:v>
      </x:c>
      <x:c r="C42" s="37" t="str">
        <x:v>攀爬右手高</x:v>
      </x:c>
      <x:c r="D42" s="37" t="str">
        <x:f>"【交付文件】"&amp;A42&amp;CHAR(10)&amp;"【本张任务】"&amp;C42&amp;CHAR(10)&amp;'生成规范'!$B$8&amp;CHAR(10)&amp;"【单张范围】"&amp;E42&amp;CHAR(10)&amp;"【本组造型约束】"&amp;INDEX('素材需求'!$F$8:$F$119,MATCH(B42,'素材需求'!$A$8:$A$119,0))&amp;CHAR(10)&amp;"【参考对象】"&amp;F42&amp;CHAR(10)&amp;"【制作规格】"&amp;I42&amp;"；"&amp;INDEX('素材需求'!$M$8:$M$119,MATCH(B42,'素材需求'!$A$8:$A$119,0))&amp;CHAR(10)&amp;"【颜色】"&amp;'生成规范'!$B$10&amp;"；"&amp;'生成规范'!$B$11&amp;CHAR(10)&amp;"【输出规则】"&amp;'生成规范'!$B$12&amp;" 后处理对齐尺寸与轴点；交付用途："&amp;H42&amp;CHAR(10)&amp;"【禁止项】"&amp;'生成规范'!$B$9&amp;"；"&amp;INDEX('素材需求'!$N$8:$N$119,MATCH(B42,'素材需求'!$A$8:$A$119,0))</x:f>
        <x:v>【交付文件】nm_v2_agent_locomotion_reference_climb_right.png
【本张任务】攀爬右手高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【单张范围】只画本张：同一完整员工沿竖向通道攀爬、右手高左脚支撑的单姿，无通道背景；本张仅这一独立交付单元，不含其他零件、对照姿势、sheet、文字、背景或地面投影。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将两张呼吸参考合并为一个待机标准，双步态与双攀爬保留。 动作参考PNG仅指导后续分件动画，不是sprite帧、不是已经接入的动作；实际动画仍依赖pose.time/stride和真实状态，暂停时全部冻结。
【参考对象】正常员工的放松待机、轻快但稳的左右支撑步态及楼梯交替支撑；脚底接地、手臂自然摆动，没有神经质扭曲或跑酷动作。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42" s="37" t="str">
        <x:v>只画本张：同一完整员工沿竖向通道攀爬、右手高左脚支撑的单姿，无通道背景；本张仅这一独立交付单元，不含其他零件、对照姿势、sheet、文字、背景或地面投影。</x:v>
      </x:c>
      <x:c r="F42" s="37" t="str">
        <x:f>INDEX('素材需求'!$G$8:$G$119,MATCH(B42,'素材需求'!$A$8:$A$119,0))</x:f>
        <x:v>正常员工的放松待机、轻快但稳的左右支撑步态及楼梯交替支撑；脚底接地、手臂自然摆动，没有神经质扭曲或跑酷动作。</x:v>
      </x:c>
      <x:c r="G42" s="37" t="str">
        <x:f>INDEX('素材需求'!$B$8:$B$119,MATCH(B42,'素材需求'!$A$8:$A$119,0))</x:f>
        <x:v>P0常态</x:v>
      </x:c>
      <x:c r="H42" s="37" t="str">
        <x:v>定稿／动作参考</x:v>
      </x:c>
      <x:c r="I4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42" s="37" t="str">
        <x:v>art_delivery/nm_v2/references/</x:v>
      </x:c>
      <x:c r="K42" s="45" t="str">
        <x:v>待生成</x:v>
      </x:c>
      <x:c r="L42" s="37" t="str">
        <x:v>climb_right</x:v>
      </x:c>
    </x:row>
    <x:row r="43" ht="300" customHeight="1">
      <x:c r="A43" s="38" t="str">
        <x:f>INDEX('素材需求'!$D$8:$D$119,MATCH(B43,'素材需求'!$A$8:$A$119,0))&amp;IF(L43="","","_"&amp;L43)&amp;".png"</x:f>
        <x:v>nm_v2_agent_work_reference_arrive.png</x:v>
      </x:c>
      <x:c r="B43" s="38" t="str">
        <x:v>NMV2_STA_011</x:v>
      </x:c>
      <x:c r="C43" s="38" t="str">
        <x:v>到达工作位</x:v>
      </x:c>
      <x:c r="D43" s="38" t="str">
        <x:f>"【交付文件】"&amp;A43&amp;CHAR(10)&amp;"【本张任务】"&amp;C43&amp;CHAR(10)&amp;'生成规范'!$B$8&amp;CHAR(10)&amp;"【单张范围】"&amp;E43&amp;CHAR(10)&amp;"【本组造型约束】"&amp;INDEX('素材需求'!$F$8:$F$119,MATCH(B43,'素材需求'!$A$8:$A$119,0))&amp;CHAR(10)&amp;"【参考对象】"&amp;F43&amp;CHAR(10)&amp;"【制作规格】"&amp;I43&amp;"；"&amp;INDEX('素材需求'!$M$8:$M$119,MATCH(B43,'素材需求'!$A$8:$A$119,0))&amp;CHAR(10)&amp;"【颜色】"&amp;'生成规范'!$B$10&amp;"；"&amp;'生成规范'!$B$11&amp;CHAR(10)&amp;"【输出规则】"&amp;'生成规范'!$B$12&amp;" 后处理对齐尺寸与轴点；交付用途："&amp;H43&amp;CHAR(10)&amp;"【禁止项】"&amp;'生成规范'!$B$9&amp;"；"&amp;INDEX('素材需求'!$N$8:$N$119,MATCH(B43,'素材需求'!$A$8:$A$119,0))</x:f>
        <x:v>【交付文件】nm_v2_agent_work_reference_arrive.png
【本张任务】到达工作位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【单张范围】只画本张：一位完整员工站稳收步、转向工作位的到位姿，双足落地，不画房间或第二人；本张仅这一独立交付单元，不含其他零件、对照姿势、sheet、文字、背景或地面投影。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工作位到达需有收步反馈；观察/互动/安抚各一张关键参考，回正由共享骨架插值。 动作参考PNG仅指导后续分件动画，不是sprite帧、不是已经接入的动作；实际动画仍依赖pose.time/stride和真实状态，暂停时全部冻结。
【参考对象】现代研究员到达终端、查看平板、礼貌互动和安抚手势；动作克制、工作位清楚，不画同框第二个人或机器背景。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43" s="38" t="str">
        <x:v>只画本张：一位完整员工站稳收步、转向工作位的到位姿，双足落地，不画房间或第二人；本张仅这一独立交付单元，不含其他零件、对照姿势、sheet、文字、背景或地面投影。</x:v>
      </x:c>
      <x:c r="F43" s="38" t="str">
        <x:f>INDEX('素材需求'!$G$8:$G$119,MATCH(B43,'素材需求'!$A$8:$A$119,0))</x:f>
        <x:v>现代研究员到达终端、查看平板、礼貌互动和安抚手势；动作克制、工作位清楚，不画同框第二个人或机器背景。</x:v>
      </x:c>
      <x:c r="G43" s="38" t="str">
        <x:f>INDEX('素材需求'!$B$8:$B$119,MATCH(B43,'素材需求'!$A$8:$A$119,0))</x:f>
        <x:v>P0常态</x:v>
      </x:c>
      <x:c r="H43" s="38" t="str">
        <x:v>定稿／动作参考</x:v>
      </x:c>
      <x:c r="I4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43" s="38" t="str">
        <x:v>art_delivery/nm_v2/references/</x:v>
      </x:c>
      <x:c r="K43" s="45" t="str">
        <x:v>待生成</x:v>
      </x:c>
      <x:c r="L43" s="38" t="str">
        <x:v>arrive</x:v>
      </x:c>
    </x:row>
    <x:row r="44" ht="300" customHeight="1">
      <x:c r="A44" s="37" t="str">
        <x:f>INDEX('素材需求'!$D$8:$D$119,MATCH(B44,'素材需求'!$A$8:$A$119,0))&amp;IF(L44="","","_"&amp;L44)&amp;".png"</x:f>
        <x:v>nm_v2_agent_work_reference_observe.png</x:v>
      </x:c>
      <x:c r="B44" s="37" t="str">
        <x:v>NMV2_STA_011</x:v>
      </x:c>
      <x:c r="C44" s="37" t="str">
        <x:v>观察</x:v>
      </x:c>
      <x:c r="D44" s="37" t="str">
        <x:f>"【交付文件】"&amp;A44&amp;CHAR(10)&amp;"【本张任务】"&amp;C44&amp;CHAR(10)&amp;'生成规范'!$B$8&amp;CHAR(10)&amp;"【单张范围】"&amp;E44&amp;CHAR(10)&amp;"【本组造型约束】"&amp;INDEX('素材需求'!$F$8:$F$119,MATCH(B44,'素材需求'!$A$8:$A$119,0))&amp;CHAR(10)&amp;"【参考对象】"&amp;F44&amp;CHAR(10)&amp;"【制作规格】"&amp;I44&amp;"；"&amp;INDEX('素材需求'!$M$8:$M$119,MATCH(B44,'素材需求'!$A$8:$A$119,0))&amp;CHAR(10)&amp;"【颜色】"&amp;'生成规范'!$B$10&amp;"；"&amp;'生成规范'!$B$11&amp;CHAR(10)&amp;"【输出规则】"&amp;'生成规范'!$B$12&amp;" 后处理对齐尺寸与轴点；交付用途："&amp;H44&amp;CHAR(10)&amp;"【禁止项】"&amp;'生成规范'!$B$9&amp;"；"&amp;INDEX('素材需求'!$N$8:$N$119,MATCH(B44,'素材需求'!$A$8:$A$119,0))</x:f>
        <x:v>【交付文件】nm_v2_agent_work_reference_observe.png
【本张任务】观察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【单张范围】只画本张：同一完整员工双手稳持轻型平板、低头专注读数的工作姿；本张仅这一独立交付单元，不含其他零件、对照姿势、sheet、文字、背景或地面投影。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工作位到达需有收步反馈；观察/互动/安抚各一张关键参考，回正由共享骨架插值。 动作参考PNG仅指导后续分件动画，不是sprite帧、不是已经接入的动作；实际动画仍依赖pose.time/stride和真实状态，暂停时全部冻结。
【参考对象】现代研究员到达终端、查看平板、礼貌互动和安抚手势；动作克制、工作位清楚，不画同框第二个人或机器背景。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44" s="37" t="str">
        <x:v>只画本张：同一完整员工双手稳持轻型平板、低头专注读数的工作姿；本张仅这一独立交付单元，不含其他零件、对照姿势、sheet、文字、背景或地面投影。</x:v>
      </x:c>
      <x:c r="F44" s="37" t="str">
        <x:f>INDEX('素材需求'!$G$8:$G$119,MATCH(B44,'素材需求'!$A$8:$A$119,0))</x:f>
        <x:v>现代研究员到达终端、查看平板、礼貌互动和安抚手势；动作克制、工作位清楚，不画同框第二个人或机器背景。</x:v>
      </x:c>
      <x:c r="G44" s="37" t="str">
        <x:f>INDEX('素材需求'!$B$8:$B$119,MATCH(B44,'素材需求'!$A$8:$A$119,0))</x:f>
        <x:v>P0常态</x:v>
      </x:c>
      <x:c r="H44" s="37" t="str">
        <x:v>定稿／动作参考</x:v>
      </x:c>
      <x:c r="I4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44" s="37" t="str">
        <x:v>art_delivery/nm_v2/references/</x:v>
      </x:c>
      <x:c r="K44" s="45" t="str">
        <x:v>待生成</x:v>
      </x:c>
      <x:c r="L44" s="37" t="str">
        <x:v>observe</x:v>
      </x:c>
    </x:row>
    <x:row r="45" ht="300" customHeight="1">
      <x:c r="A45" s="38" t="str">
        <x:f>INDEX('素材需求'!$D$8:$D$119,MATCH(B45,'素材需求'!$A$8:$A$119,0))&amp;IF(L45="","","_"&amp;L45)&amp;".png"</x:f>
        <x:v>nm_v2_agent_work_reference_interact.png</x:v>
      </x:c>
      <x:c r="B45" s="38" t="str">
        <x:v>NMV2_STA_011</x:v>
      </x:c>
      <x:c r="C45" s="38" t="str">
        <x:v>互动</x:v>
      </x:c>
      <x:c r="D45" s="38" t="str">
        <x:f>"【交付文件】"&amp;A45&amp;CHAR(10)&amp;"【本张任务】"&amp;C45&amp;CHAR(10)&amp;'生成规范'!$B$8&amp;CHAR(10)&amp;"【单张范围】"&amp;E45&amp;CHAR(10)&amp;"【本组造型约束】"&amp;INDEX('素材需求'!$F$8:$F$119,MATCH(B45,'素材需求'!$A$8:$A$119,0))&amp;CHAR(10)&amp;"【参考对象】"&amp;F45&amp;CHAR(10)&amp;"【制作规格】"&amp;I45&amp;"；"&amp;INDEX('素材需求'!$M$8:$M$119,MATCH(B45,'素材需求'!$A$8:$A$119,0))&amp;CHAR(10)&amp;"【颜色】"&amp;'生成规范'!$B$10&amp;"；"&amp;'生成规范'!$B$11&amp;CHAR(10)&amp;"【输出规则】"&amp;'生成规范'!$B$12&amp;" 后处理对齐尺寸与轴点；交付用途："&amp;H45&amp;CHAR(10)&amp;"【禁止项】"&amp;'生成规范'!$B$9&amp;"；"&amp;INDEX('素材需求'!$N$8:$N$119,MATCH(B45,'素材需求'!$A$8:$A$119,0))</x:f>
        <x:v>【交付文件】nm_v2_agent_work_reference_interact.png
【本张任务】互动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【单张范围】只画本张：同一完整员工单手自然伸向样本、另一手保持平衡的互动姿，不画样本；本张仅这一独立交付单元，不含其他零件、对照姿势、sheet、文字、背景或地面投影。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工作位到达需有收步反馈；观察/互动/安抚各一张关键参考，回正由共享骨架插值。 动作参考PNG仅指导后续分件动画，不是sprite帧、不是已经接入的动作；实际动画仍依赖pose.time/stride和真实状态，暂停时全部冻结。
【参考对象】现代研究员到达终端、查看平板、礼貌互动和安抚手势；动作克制、工作位清楚，不画同框第二个人或机器背景。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45" s="38" t="str">
        <x:v>只画本张：同一完整员工单手自然伸向样本、另一手保持平衡的互动姿，不画样本；本张仅这一独立交付单元，不含其他零件、对照姿势、sheet、文字、背景或地面投影。</x:v>
      </x:c>
      <x:c r="F45" s="38" t="str">
        <x:f>INDEX('素材需求'!$G$8:$G$119,MATCH(B45,'素材需求'!$A$8:$A$119,0))</x:f>
        <x:v>现代研究员到达终端、查看平板、礼貌互动和安抚手势；动作克制、工作位清楚，不画同框第二个人或机器背景。</x:v>
      </x:c>
      <x:c r="G45" s="38" t="str">
        <x:f>INDEX('素材需求'!$B$8:$B$119,MATCH(B45,'素材需求'!$A$8:$A$119,0))</x:f>
        <x:v>P0常态</x:v>
      </x:c>
      <x:c r="H45" s="38" t="str">
        <x:v>定稿／动作参考</x:v>
      </x:c>
      <x:c r="I4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45" s="38" t="str">
        <x:v>art_delivery/nm_v2/references/</x:v>
      </x:c>
      <x:c r="K45" s="45" t="str">
        <x:v>待生成</x:v>
      </x:c>
      <x:c r="L45" s="38" t="str">
        <x:v>interact</x:v>
      </x:c>
    </x:row>
    <x:row r="46" ht="300" customHeight="1">
      <x:c r="A46" s="37" t="str">
        <x:f>INDEX('素材需求'!$D$8:$D$119,MATCH(B46,'素材需求'!$A$8:$A$119,0))&amp;IF(L46="","","_"&amp;L46)&amp;".png"</x:f>
        <x:v>nm_v2_agent_work_reference_soothe.png</x:v>
      </x:c>
      <x:c r="B46" s="37" t="str">
        <x:v>NMV2_STA_011</x:v>
      </x:c>
      <x:c r="C46" s="37" t="str">
        <x:v>安抚</x:v>
      </x:c>
      <x:c r="D46" s="37" t="str">
        <x:f>"【交付文件】"&amp;A46&amp;CHAR(10)&amp;"【本张任务】"&amp;C46&amp;CHAR(10)&amp;'生成规范'!$B$8&amp;CHAR(10)&amp;"【单张范围】"&amp;E46&amp;CHAR(10)&amp;"【本组造型约束】"&amp;INDEX('素材需求'!$F$8:$F$119,MATCH(B46,'素材需求'!$A$8:$A$119,0))&amp;CHAR(10)&amp;"【参考对象】"&amp;F46&amp;CHAR(10)&amp;"【制作规格】"&amp;I46&amp;"；"&amp;INDEX('素材需求'!$M$8:$M$119,MATCH(B46,'素材需求'!$A$8:$A$119,0))&amp;CHAR(10)&amp;"【颜色】"&amp;'生成规范'!$B$10&amp;"；"&amp;'生成规范'!$B$11&amp;CHAR(10)&amp;"【输出规则】"&amp;'生成规范'!$B$12&amp;" 后处理对齐尺寸与轴点；交付用途："&amp;H46&amp;CHAR(10)&amp;"【禁止项】"&amp;'生成规范'!$B$9&amp;"；"&amp;INDEX('素材需求'!$N$8:$N$119,MATCH(B46,'素材需求'!$A$8:$A$119,0))</x:f>
        <x:v>【交付文件】nm_v2_agent_work_reference_soothe.png
【本张任务】安抚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【单张范围】只画本张：同一完整员工双手温和摊开、身体稍低但不跪拜的安抚姿，不画样本；本张仅这一独立交付单元，不含其他零件、对照姿势、sheet、文字、背景或地面投影。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工作位到达需有收步反馈；观察/互动/安抚各一张关键参考，回正由共享骨架插值。 动作参考PNG仅指导后续分件动画，不是sprite帧、不是已经接入的动作；实际动画仍依赖pose.time/stride和真实状态，暂停时全部冻结。
【参考对象】现代研究员到达终端、查看平板、礼貌互动和安抚手势；动作克制、工作位清楚，不画同框第二个人或机器背景。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46" s="37" t="str">
        <x:v>只画本张：同一完整员工双手温和摊开、身体稍低但不跪拜的安抚姿，不画样本；本张仅这一独立交付单元，不含其他零件、对照姿势、sheet、文字、背景或地面投影。</x:v>
      </x:c>
      <x:c r="F46" s="37" t="str">
        <x:f>INDEX('素材需求'!$G$8:$G$119,MATCH(B46,'素材需求'!$A$8:$A$119,0))</x:f>
        <x:v>现代研究员到达终端、查看平板、礼貌互动和安抚手势；动作克制、工作位清楚，不画同框第二个人或机器背景。</x:v>
      </x:c>
      <x:c r="G46" s="37" t="str">
        <x:f>INDEX('素材需求'!$B$8:$B$119,MATCH(B46,'素材需求'!$A$8:$A$119,0))</x:f>
        <x:v>P0常态</x:v>
      </x:c>
      <x:c r="H46" s="37" t="str">
        <x:v>定稿／动作参考</x:v>
      </x:c>
      <x:c r="I4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46" s="37" t="str">
        <x:v>art_delivery/nm_v2/references/</x:v>
      </x:c>
      <x:c r="K46" s="45" t="str">
        <x:v>待生成</x:v>
      </x:c>
      <x:c r="L46" s="37" t="str">
        <x:v>soothe</x:v>
      </x:c>
    </x:row>
    <x:row r="47" ht="300" customHeight="1">
      <x:c r="A47" s="38" t="str">
        <x:f>INDEX('素材需求'!$D$8:$D$119,MATCH(B47,'素材需求'!$A$8:$A$119,0))&amp;IF(L47="","","_"&amp;L47)&amp;".png"</x:f>
        <x:v>nm_v2_agent_condition_reference_hit_recoil.png</x:v>
      </x:c>
      <x:c r="B47" s="38" t="str">
        <x:v>NMV2_STA_012</x:v>
      </x:c>
      <x:c r="C47" s="38" t="str">
        <x:v>受击反馈</x:v>
      </x:c>
      <x:c r="D47" s="38" t="str">
        <x:f>"【交付文件】"&amp;A47&amp;CHAR(10)&amp;"【本张任务】"&amp;C47&amp;CHAR(10)&amp;'生成规范'!$B$8&amp;CHAR(10)&amp;"【单张范围】"&amp;E47&amp;CHAR(10)&amp;"【本组造型约束】"&amp;INDEX('素材需求'!$F$8:$F$119,MATCH(B47,'素材需求'!$A$8:$A$119,0))&amp;CHAR(10)&amp;"【参考对象】"&amp;F47&amp;CHAR(10)&amp;"【制作规格】"&amp;I47&amp;"；"&amp;INDEX('素材需求'!$M$8:$M$119,MATCH(B47,'素材需求'!$A$8:$A$119,0))&amp;CHAR(10)&amp;"【颜色】"&amp;'生成规范'!$B$10&amp;"；"&amp;'生成规范'!$B$11&amp;CHAR(10)&amp;"【输出规则】"&amp;'生成规范'!$B$12&amp;" 后处理对齐尺寸与轴点；交付用途："&amp;H47&amp;CHAR(10)&amp;"【禁止项】"&amp;'生成规范'!$B$9&amp;"；"&amp;INDEX('素材需求'!$N$8:$N$119,MATCH(B47,'素材需求'!$A$8:$A$119,0))</x:f>
        <x:v>【交付文件】nm_v2_agent_condition_reference_hit_recoil.png
【本张任务】受击反馈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【单张范围】只画本张：一位完整员工短暂收肩回缩的受击关键姿，无伤口血迹或后飞；本张仅这一独立交付单元，不含其他零件、对照姿势、sheet、文字、背景或地面投影。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低HP仅改变姿态，不改真实速度。正常撤退共用行走；恐慌撤退需抬手与急促重心反馈。恢复只对应安全区已有HP/SP恢复规则。 动作参考PNG仅指导后续分件动画，不是sprite帧、不是已经接入的动作；实际动画仍依赖pose.time/stride和真实状态，暂停时全部冻结。
【参考对象】正常人的短促受击收缩、低HP护住身体、惊慌撤退、本日重伤倒地和存活员工安全区放松休整；不用伤口、尸体或复活仪式表达状态。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47" s="38" t="str">
        <x:v>只画本张：一位完整员工短暂收肩回缩的受击关键姿，无伤口血迹或后飞；本张仅这一独立交付单元，不含其他零件、对照姿势、sheet、文字、背景或地面投影。</x:v>
      </x:c>
      <x:c r="F47" s="38" t="str">
        <x:f>INDEX('素材需求'!$G$8:$G$119,MATCH(B47,'素材需求'!$A$8:$A$119,0))</x:f>
        <x:v>正常人的短促受击收缩、低HP护住身体、惊慌撤退、本日重伤倒地和存活员工安全区放松休整；不用伤口、尸体或复活仪式表达状态。</x:v>
      </x:c>
      <x:c r="G47" s="38" t="str">
        <x:f>INDEX('素材需求'!$B$8:$B$119,MATCH(B47,'素材需求'!$A$8:$A$119,0))</x:f>
        <x:v>P0常态</x:v>
      </x:c>
      <x:c r="H47" s="38" t="str">
        <x:v>定稿／动作参考</x:v>
      </x:c>
      <x:c r="I4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47" s="38" t="str">
        <x:v>art_delivery/nm_v2/references/</x:v>
      </x:c>
      <x:c r="K47" s="45" t="str">
        <x:v>待生成</x:v>
      </x:c>
      <x:c r="L47" s="38" t="str">
        <x:v>hit_recoil</x:v>
      </x:c>
    </x:row>
    <x:row r="48" ht="300" customHeight="1">
      <x:c r="A48" s="37" t="str">
        <x:f>INDEX('素材需求'!$D$8:$D$119,MATCH(B48,'素材需求'!$A$8:$A$119,0))&amp;IF(L48="","","_"&amp;L48)&amp;".png"</x:f>
        <x:v>nm_v2_agent_condition_reference_low_hp_guard.png</x:v>
      </x:c>
      <x:c r="B48" s="37" t="str">
        <x:v>NMV2_STA_012</x:v>
      </x:c>
      <x:c r="C48" s="37" t="str">
        <x:v>低HP护身</x:v>
      </x:c>
      <x:c r="D48" s="37" t="str">
        <x:f>"【交付文件】"&amp;A48&amp;CHAR(10)&amp;"【本张任务】"&amp;C48&amp;CHAR(10)&amp;'生成规范'!$B$8&amp;CHAR(10)&amp;"【单张范围】"&amp;E48&amp;CHAR(10)&amp;"【本组造型约束】"&amp;INDEX('素材需求'!$F$8:$F$119,MATCH(B48,'素材需求'!$A$8:$A$119,0))&amp;CHAR(10)&amp;"【参考对象】"&amp;F48&amp;CHAR(10)&amp;"【制作规格】"&amp;I48&amp;"；"&amp;INDEX('素材需求'!$M$8:$M$119,MATCH(B48,'素材需求'!$A$8:$A$119,0))&amp;CHAR(10)&amp;"【颜色】"&amp;'生成规范'!$B$10&amp;"；"&amp;'生成规范'!$B$11&amp;CHAR(10)&amp;"【输出规则】"&amp;'生成规范'!$B$12&amp;" 后处理对齐尺寸与轴点；交付用途："&amp;H48&amp;CHAR(10)&amp;"【禁止项】"&amp;'生成规范'!$B$9&amp;"；"&amp;INDEX('素材需求'!$N$8:$N$119,MATCH(B48,'素材需求'!$A$8:$A$119,0))</x:f>
        <x:v>【交付文件】nm_v2_agent_condition_reference_low_hp_guard.png
【本张任务】低HP护身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【单张范围】只画本张：同一完整员工低HP时轻微护住身体的站姿，仍保持可行动支撑，不画断肢；本张仅这一独立交付单元，不含其他零件、对照姿势、sheet、文字、背景或地面投影。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低HP仅改变姿态，不改真实速度。正常撤退共用行走；恐慌撤退需抬手与急促重心反馈。恢复只对应安全区已有HP/SP恢复规则。 动作参考PNG仅指导后续分件动画，不是sprite帧、不是已经接入的动作；实际动画仍依赖pose.time/stride和真实状态，暂停时全部冻结。
【参考对象】正常人的短促受击收缩、低HP护住身体、惊慌撤退、本日重伤倒地和存活员工安全区放松休整；不用伤口、尸体或复活仪式表达状态。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48" s="37" t="str">
        <x:v>只画本张：同一完整员工低HP时轻微护住身体的站姿，仍保持可行动支撑，不画断肢；本张仅这一独立交付单元，不含其他零件、对照姿势、sheet、文字、背景或地面投影。</x:v>
      </x:c>
      <x:c r="F48" s="37" t="str">
        <x:f>INDEX('素材需求'!$G$8:$G$119,MATCH(B48,'素材需求'!$A$8:$A$119,0))</x:f>
        <x:v>正常人的短促受击收缩、低HP护住身体、惊慌撤退、本日重伤倒地和存活员工安全区放松休整；不用伤口、尸体或复活仪式表达状态。</x:v>
      </x:c>
      <x:c r="G48" s="37" t="str">
        <x:f>INDEX('素材需求'!$B$8:$B$119,MATCH(B48,'素材需求'!$A$8:$A$119,0))</x:f>
        <x:v>P0常态</x:v>
      </x:c>
      <x:c r="H48" s="37" t="str">
        <x:v>定稿／动作参考</x:v>
      </x:c>
      <x:c r="I4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48" s="37" t="str">
        <x:v>art_delivery/nm_v2/references/</x:v>
      </x:c>
      <x:c r="K48" s="45" t="str">
        <x:v>待生成</x:v>
      </x:c>
      <x:c r="L48" s="37" t="str">
        <x:v>low_hp_guard</x:v>
      </x:c>
    </x:row>
    <x:row r="49" ht="300" customHeight="1">
      <x:c r="A49" s="38" t="str">
        <x:f>INDEX('素材需求'!$D$8:$D$119,MATCH(B49,'素材需求'!$A$8:$A$119,0))&amp;IF(L49="","","_"&amp;L49)&amp;".png"</x:f>
        <x:v>nm_v2_agent_condition_reference_panic_retreat.png</x:v>
      </x:c>
      <x:c r="B49" s="38" t="str">
        <x:v>NMV2_STA_012</x:v>
      </x:c>
      <x:c r="C49" s="38" t="str">
        <x:v>恐慌撤退</x:v>
      </x:c>
      <x:c r="D49" s="38" t="str">
        <x:f>"【交付文件】"&amp;A49&amp;CHAR(10)&amp;"【本张任务】"&amp;C49&amp;CHAR(10)&amp;'生成规范'!$B$8&amp;CHAR(10)&amp;"【单张范围】"&amp;E49&amp;CHAR(10)&amp;"【本组造型约束】"&amp;INDEX('素材需求'!$F$8:$F$119,MATCH(B49,'素材需求'!$A$8:$A$119,0))&amp;CHAR(10)&amp;"【参考对象】"&amp;F49&amp;CHAR(10)&amp;"【制作规格】"&amp;I49&amp;"；"&amp;INDEX('素材需求'!$M$8:$M$119,MATCH(B49,'素材需求'!$A$8:$A$119,0))&amp;CHAR(10)&amp;"【颜色】"&amp;'生成规范'!$B$10&amp;"；"&amp;'生成规范'!$B$11&amp;CHAR(10)&amp;"【输出规则】"&amp;'生成规范'!$B$12&amp;" 后处理对齐尺寸与轴点；交付用途："&amp;H49&amp;CHAR(10)&amp;"【禁止项】"&amp;'生成规范'!$B$9&amp;"；"&amp;INDEX('素材需求'!$N$8:$N$119,MATCH(B49,'素材需求'!$A$8:$A$119,0))</x:f>
        <x:v>【交付文件】nm_v2_agent_condition_reference_panic_retreat.png
【本张任务】恐慌撤退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【单张范围】只画本张：同一完整员工惊慌抬手并向后方安全路径撤离的单个步态，脸和足清楚；本张仅这一独立交付单元，不含其他零件、对照姿势、sheet、文字、背景或地面投影。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低HP仅改变姿态，不改真实速度。正常撤退共用行走；恐慌撤退需抬手与急促重心反馈。恢复只对应安全区已有HP/SP恢复规则。 动作参考PNG仅指导后续分件动画，不是sprite帧、不是已经接入的动作；实际动画仍依赖pose.time/stride和真实状态，暂停时全部冻结。
【参考对象】正常人的短促受击收缩、低HP护住身体、惊慌撤退、本日重伤倒地和存活员工安全区放松休整；不用伤口、尸体或复活仪式表达状态。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49" s="38" t="str">
        <x:v>只画本张：同一完整员工惊慌抬手并向后方安全路径撤离的单个步态，脸和足清楚；本张仅这一独立交付单元，不含其他零件、对照姿势、sheet、文字、背景或地面投影。</x:v>
      </x:c>
      <x:c r="F49" s="38" t="str">
        <x:f>INDEX('素材需求'!$G$8:$G$119,MATCH(B49,'素材需求'!$A$8:$A$119,0))</x:f>
        <x:v>正常人的短促受击收缩、低HP护住身体、惊慌撤退、本日重伤倒地和存活员工安全区放松休整；不用伤口、尸体或复活仪式表达状态。</x:v>
      </x:c>
      <x:c r="G49" s="38" t="str">
        <x:f>INDEX('素材需求'!$B$8:$B$119,MATCH(B49,'素材需求'!$A$8:$A$119,0))</x:f>
        <x:v>P0常态</x:v>
      </x:c>
      <x:c r="H49" s="38" t="str">
        <x:v>定稿／动作参考</x:v>
      </x:c>
      <x:c r="I4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49" s="38" t="str">
        <x:v>art_delivery/nm_v2/references/</x:v>
      </x:c>
      <x:c r="K49" s="45" t="str">
        <x:v>待生成</x:v>
      </x:c>
      <x:c r="L49" s="38" t="str">
        <x:v>panic_retreat</x:v>
      </x:c>
    </x:row>
    <x:row r="50" ht="300" customHeight="1">
      <x:c r="A50" s="37" t="str">
        <x:f>INDEX('素材需求'!$D$8:$D$119,MATCH(B50,'素材需求'!$A$8:$A$119,0))&amp;IF(L50="","","_"&amp;L50)&amp;".png"</x:f>
        <x:v>nm_v2_agent_condition_reference_incapacitated.png</x:v>
      </x:c>
      <x:c r="B50" s="37" t="str">
        <x:v>NMV2_STA_012</x:v>
      </x:c>
      <x:c r="C50" s="37" t="str">
        <x:v>本日重伤卧倒</x:v>
      </x:c>
      <x:c r="D50" s="37" t="str">
        <x:f>"【交付文件】"&amp;A50&amp;CHAR(10)&amp;"【本张任务】"&amp;C50&amp;CHAR(10)&amp;'生成规范'!$B$8&amp;CHAR(10)&amp;"【单张范围】"&amp;E50&amp;CHAR(10)&amp;"【本组造型约束】"&amp;INDEX('素材需求'!$F$8:$F$119,MATCH(B50,'素材需求'!$A$8:$A$119,0))&amp;CHAR(10)&amp;"【参考对象】"&amp;F50&amp;CHAR(10)&amp;"【制作规格】"&amp;I50&amp;"；"&amp;INDEX('素材需求'!$M$8:$M$119,MATCH(B50,'素材需求'!$A$8:$A$119,0))&amp;CHAR(10)&amp;"【颜色】"&amp;'生成规范'!$B$10&amp;"；"&amp;'生成规范'!$B$11&amp;CHAR(10)&amp;"【输出规则】"&amp;'生成规范'!$B$12&amp;" 后处理对齐尺寸与轴点；交付用途："&amp;H50&amp;CHAR(10)&amp;"【禁止项】"&amp;'生成规范'!$B$9&amp;"；"&amp;INDEX('素材需求'!$N$8:$N$119,MATCH(B50,'素材需求'!$A$8:$A$119,0))</x:f>
        <x:v>【交付文件】nm_v2_agent_condition_reference_incapacitated.png
【本张任务】本日重伤卧倒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【单张范围】只画本张：同一完整员工侧卧在统一地面线上、关节自然收起，闭眼但无死亡符号；本张仅这一独立交付单元，不含其他零件、对照姿势、sheet、文字、背景或地面投影。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低HP仅改变姿态，不改真实速度。正常撤退共用行走；恐慌撤退需抬手与急促重心反馈。恢复只对应安全区已有HP/SP恢复规则。 动作参考PNG仅指导后续分件动画，不是sprite帧、不是已经接入的动作；实际动画仍依赖pose.time/stride和真实状态，暂停时全部冻结。
【参考对象】正常人的短促受击收缩、低HP护住身体、惊慌撤退、本日重伤倒地和存活员工安全区放松休整；不用伤口、尸体或复活仪式表达状态。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50" s="37" t="str">
        <x:v>只画本张：同一完整员工侧卧在统一地面线上、关节自然收起，闭眼但无死亡符号；本张仅这一独立交付单元，不含其他零件、对照姿势、sheet、文字、背景或地面投影。</x:v>
      </x:c>
      <x:c r="F50" s="37" t="str">
        <x:f>INDEX('素材需求'!$G$8:$G$119,MATCH(B50,'素材需求'!$A$8:$A$119,0))</x:f>
        <x:v>正常人的短促受击收缩、低HP护住身体、惊慌撤退、本日重伤倒地和存活员工安全区放松休整；不用伤口、尸体或复活仪式表达状态。</x:v>
      </x:c>
      <x:c r="G50" s="37" t="str">
        <x:f>INDEX('素材需求'!$B$8:$B$119,MATCH(B50,'素材需求'!$A$8:$A$119,0))</x:f>
        <x:v>P0常态</x:v>
      </x:c>
      <x:c r="H50" s="37" t="str">
        <x:v>定稿／动作参考</x:v>
      </x:c>
      <x:c r="I5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50" s="37" t="str">
        <x:v>art_delivery/nm_v2/references/</x:v>
      </x:c>
      <x:c r="K50" s="45" t="str">
        <x:v>待生成</x:v>
      </x:c>
      <x:c r="L50" s="37" t="str">
        <x:v>incapacitated</x:v>
      </x:c>
    </x:row>
    <x:row r="51" ht="314.25" customHeight="1">
      <x:c r="A51" s="38" t="str">
        <x:f>INDEX('素材需求'!$D$8:$D$119,MATCH(B51,'素材需求'!$A$8:$A$119,0))&amp;IF(L51="","","_"&amp;L51)&amp;".png"</x:f>
        <x:v>nm_v2_agent_condition_reference_safe_recovery.png</x:v>
      </x:c>
      <x:c r="B51" s="38" t="str">
        <x:v>NMV2_STA_012</x:v>
      </x:c>
      <x:c r="C51" s="38" t="str">
        <x:v>安全区恢复</x:v>
      </x:c>
      <x:c r="D51" s="38" t="str">
        <x:f>"【交付文件】"&amp;A51&amp;CHAR(10)&amp;"【本张任务】"&amp;C51&amp;CHAR(10)&amp;'生成规范'!$B$8&amp;CHAR(10)&amp;"【单张范围】"&amp;E51&amp;CHAR(10)&amp;"【本组造型约束】"&amp;INDEX('素材需求'!$F$8:$F$119,MATCH(B51,'素材需求'!$A$8:$A$119,0))&amp;CHAR(10)&amp;"【参考对象】"&amp;F51&amp;CHAR(10)&amp;"【制作规格】"&amp;I51&amp;"；"&amp;INDEX('素材需求'!$M$8:$M$119,MATCH(B51,'素材需求'!$A$8:$A$119,0))&amp;CHAR(10)&amp;"【颜色】"&amp;'生成规范'!$B$10&amp;"；"&amp;'生成规范'!$B$11&amp;CHAR(10)&amp;"【输出规则】"&amp;'生成规范'!$B$12&amp;" 后处理对齐尺寸与轴点；交付用途："&amp;H51&amp;CHAR(10)&amp;"【禁止项】"&amp;'生成规范'!$B$9&amp;"；"&amp;INDEX('素材需求'!$N$8:$N$119,MATCH(B51,'素材需求'!$A$8:$A$119,0))</x:f>
        <x:v>【交付文件】nm_v2_agent_condition_reference_safe_recovery.png
【本张任务】安全区恢复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【单张范围】只画本张：同一完整员工在仍可行动时放松肩颈、平稳呼吸的站立恢复姿，无护士、治疗光束或复活动作；本张仅这一独立交付单元，不含其他零件、对照姿势、sheet、文字、背景或地面投影。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低HP仅改变姿态，不改真实速度。正常撤退共用行走；恐慌撤退需抬手与急促重心反馈。恢复只对应安全区已有HP/SP恢复规则。 动作参考PNG仅指导后续分件动画，不是sprite帧、不是已经接入的动作；实际动画仍依赖pose.time/stride和真实状态，暂停时全部冻结。
【参考对象】正常人的短促受击收缩、低HP护住身体、惊慌撤退、本日重伤倒地和存活员工安全区放松休整；不用伤口、尸体或复活仪式表达状态。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51" s="38" t="str">
        <x:v>只画本张：同一完整员工在仍可行动时放松肩颈、平稳呼吸的站立恢复姿，无护士、治疗光束或复活动作；本张仅这一独立交付单元，不含其他零件、对照姿势、sheet、文字、背景或地面投影。</x:v>
      </x:c>
      <x:c r="F51" s="38" t="str">
        <x:f>INDEX('素材需求'!$G$8:$G$119,MATCH(B51,'素材需求'!$A$8:$A$119,0))</x:f>
        <x:v>正常人的短促受击收缩、低HP护住身体、惊慌撤退、本日重伤倒地和存活员工安全区放松休整；不用伤口、尸体或复活仪式表达状态。</x:v>
      </x:c>
      <x:c r="G51" s="38" t="str">
        <x:f>INDEX('素材需求'!$B$8:$B$119,MATCH(B51,'素材需求'!$A$8:$A$119,0))</x:f>
        <x:v>P0常态</x:v>
      </x:c>
      <x:c r="H51" s="38" t="str">
        <x:v>定稿／动作参考</x:v>
      </x:c>
      <x:c r="I5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51" s="38" t="str">
        <x:v>art_delivery/nm_v2/references/</x:v>
      </x:c>
      <x:c r="K51" s="45" t="str">
        <x:v>待生成</x:v>
      </x:c>
      <x:c r="L51" s="38" t="str">
        <x:v>safe_recovery</x:v>
      </x:c>
    </x:row>
    <x:row r="52" ht="300" customHeight="1">
      <x:c r="A52" s="37" t="str">
        <x:f>INDEX('素材需求'!$D$8:$D$119,MATCH(B52,'素材需求'!$A$8:$A$119,0))&amp;IF(L52="","","_"&amp;L52)&amp;".png"</x:f>
        <x:v>nm_v2_agent_attack_reference_windup.png</x:v>
      </x:c>
      <x:c r="B52" s="37" t="str">
        <x:v>NMV2_STA_013</x:v>
      </x:c>
      <x:c r="C52" s="37" t="str">
        <x:v>攻击前摇</x:v>
      </x:c>
      <x:c r="D52" s="37" t="str">
        <x:f>"【交付文件】"&amp;A52&amp;CHAR(10)&amp;"【本张任务】"&amp;C52&amp;CHAR(10)&amp;'生成规范'!$B$8&amp;CHAR(10)&amp;"【单张范围】"&amp;E52&amp;CHAR(10)&amp;"【本组造型约束】"&amp;INDEX('素材需求'!$F$8:$F$119,MATCH(B52,'素材需求'!$A$8:$A$119,0))&amp;CHAR(10)&amp;"【参考对象】"&amp;F52&amp;CHAR(10)&amp;"【制作规格】"&amp;I52&amp;"；"&amp;INDEX('素材需求'!$M$8:$M$119,MATCH(B52,'素材需求'!$A$8:$A$119,0))&amp;CHAR(10)&amp;"【颜色】"&amp;'生成规范'!$B$10&amp;"；"&amp;'生成规范'!$B$11&amp;CHAR(10)&amp;"【输出规则】"&amp;'生成规范'!$B$12&amp;" 后处理对齐尺寸与轴点；交付用途："&amp;H52&amp;CHAR(10)&amp;"【禁止项】"&amp;'生成规范'!$B$9&amp;"；"&amp;INDEX('素材需求'!$N$8:$N$119,MATCH(B52,'素材需求'!$A$8:$A$119,0))</x:f>
        <x:v>【交付文件】nm_v2_agent_attack_reference_windup.png
【本张任务】攻击前摇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【单张范围】只画本张：一位完整员工持W00制式短棍的清晰蓄力关键姿，腕与握点连接，不画目标；本张仅这一独立交付单元，不含其他零件、对照姿势、sheet、文字、背景或地面投影。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共用三阶段节奏与下肢重心，手臂方向按各武器握点适配为近战挥击或远程前举；不为每武器重复订整套人物动作。 动作参考PNG仅指导后续分件动画，不是sprite帧、不是已经接入的动作；实际动画仍依赖pose.time/stride和真实状态，暂停时全部冻结。
【参考对象】现代员工握持短器械的收臂准备、向前出力和自然回收三个关键姿势；双脚支撑清楚，不借用士兵火力射击或魔法施法姿态。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52" s="37" t="str">
        <x:v>只画本张：一位完整员工持W00制式短棍的清晰蓄力关键姿，腕与握点连接，不画目标；本张仅这一独立交付单元，不含其他零件、对照姿势、sheet、文字、背景或地面投影。</x:v>
      </x:c>
      <x:c r="F52" s="37" t="str">
        <x:f>INDEX('素材需求'!$G$8:$G$119,MATCH(B52,'素材需求'!$A$8:$A$119,0))</x:f>
        <x:v>现代员工握持短器械的收臂准备、向前出力和自然回收三个关键姿势；双脚支撑清楚，不借用士兵火力射击或魔法施法姿态。</x:v>
      </x:c>
      <x:c r="G52" s="37" t="str">
        <x:f>INDEX('素材需求'!$B$8:$B$119,MATCH(B52,'素材需求'!$A$8:$A$119,0))</x:f>
        <x:v>P0常态</x:v>
      </x:c>
      <x:c r="H52" s="37" t="str">
        <x:v>定稿／动作参考</x:v>
      </x:c>
      <x:c r="I5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52" s="37" t="str">
        <x:v>art_delivery/nm_v2/references/</x:v>
      </x:c>
      <x:c r="K52" s="45" t="str">
        <x:v>待生成</x:v>
      </x:c>
      <x:c r="L52" s="37" t="str">
        <x:v>windup</x:v>
      </x:c>
    </x:row>
    <x:row r="53" ht="300" customHeight="1">
      <x:c r="A53" s="38" t="str">
        <x:f>INDEX('素材需求'!$D$8:$D$119,MATCH(B53,'素材需求'!$A$8:$A$119,0))&amp;IF(L53="","","_"&amp;L53)&amp;".png"</x:f>
        <x:v>nm_v2_agent_attack_reference_hit.png</x:v>
      </x:c>
      <x:c r="B53" s="38" t="str">
        <x:v>NMV2_STA_013</x:v>
      </x:c>
      <x:c r="C53" s="38" t="str">
        <x:v>攻击释放</x:v>
      </x:c>
      <x:c r="D53" s="38" t="str">
        <x:f>"【交付文件】"&amp;A53&amp;CHAR(10)&amp;"【本张任务】"&amp;C53&amp;CHAR(10)&amp;'生成规范'!$B$8&amp;CHAR(10)&amp;"【单张范围】"&amp;E53&amp;CHAR(10)&amp;"【本组造型约束】"&amp;INDEX('素材需求'!$F$8:$F$119,MATCH(B53,'素材需求'!$A$8:$A$119,0))&amp;CHAR(10)&amp;"【参考对象】"&amp;F53&amp;CHAR(10)&amp;"【制作规格】"&amp;I53&amp;"；"&amp;INDEX('素材需求'!$M$8:$M$119,MATCH(B53,'素材需求'!$A$8:$A$119,0))&amp;CHAR(10)&amp;"【颜色】"&amp;'生成规范'!$B$10&amp;"；"&amp;'生成规范'!$B$11&amp;CHAR(10)&amp;"【输出规则】"&amp;'生成规范'!$B$12&amp;" 后处理对齐尺寸与轴点；交付用途："&amp;H53&amp;CHAR(10)&amp;"【禁止项】"&amp;'生成规范'!$B$9&amp;"；"&amp;INDEX('素材需求'!$N$8:$N$119,MATCH(B53,'素材需求'!$A$8:$A$119,0))</x:f>
        <x:v>【交付文件】nm_v2_agent_attack_reference_hit.png
【本张任务】攻击释放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【单张范围】只画本张：同一完整员工朝右释放攻击的关键姿，近手前伸、身体稳定，不画命中特效或目标；本张仅这一独立交付单元，不含其他零件、对照姿势、sheet、文字、背景或地面投影。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共用三阶段节奏与下肢重心，手臂方向按各武器握点适配为近战挥击或远程前举；不为每武器重复订整套人物动作。 动作参考PNG仅指导后续分件动画，不是sprite帧、不是已经接入的动作；实际动画仍依赖pose.time/stride和真实状态，暂停时全部冻结。
【参考对象】现代员工握持短器械的收臂准备、向前出力和自然回收三个关键姿势；双脚支撑清楚，不借用士兵火力射击或魔法施法姿态。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53" s="38" t="str">
        <x:v>只画本张：同一完整员工朝右释放攻击的关键姿，近手前伸、身体稳定，不画命中特效或目标；本张仅这一独立交付单元，不含其他零件、对照姿势、sheet、文字、背景或地面投影。</x:v>
      </x:c>
      <x:c r="F53" s="38" t="str">
        <x:f>INDEX('素材需求'!$G$8:$G$119,MATCH(B53,'素材需求'!$A$8:$A$119,0))</x:f>
        <x:v>现代员工握持短器械的收臂准备、向前出力和自然回收三个关键姿势；双脚支撑清楚，不借用士兵火力射击或魔法施法姿态。</x:v>
      </x:c>
      <x:c r="G53" s="38" t="str">
        <x:f>INDEX('素材需求'!$B$8:$B$119,MATCH(B53,'素材需求'!$A$8:$A$119,0))</x:f>
        <x:v>P0常态</x:v>
      </x:c>
      <x:c r="H53" s="38" t="str">
        <x:v>定稿／动作参考</x:v>
      </x:c>
      <x:c r="I5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53" s="38" t="str">
        <x:v>art_delivery/nm_v2/references/</x:v>
      </x:c>
      <x:c r="K53" s="45" t="str">
        <x:v>待生成</x:v>
      </x:c>
      <x:c r="L53" s="38" t="str">
        <x:v>hit</x:v>
      </x:c>
    </x:row>
    <x:row r="54" ht="300" customHeight="1">
      <x:c r="A54" s="37" t="str">
        <x:f>INDEX('素材需求'!$D$8:$D$119,MATCH(B54,'素材需求'!$A$8:$A$119,0))&amp;IF(L54="","","_"&amp;L54)&amp;".png"</x:f>
        <x:v>nm_v2_agent_attack_reference_recover.png</x:v>
      </x:c>
      <x:c r="B54" s="37" t="str">
        <x:v>NMV2_STA_013</x:v>
      </x:c>
      <x:c r="C54" s="37" t="str">
        <x:v>攻击收势</x:v>
      </x:c>
      <x:c r="D54" s="37" t="str">
        <x:f>"【交付文件】"&amp;A54&amp;CHAR(10)&amp;"【本张任务】"&amp;C54&amp;CHAR(10)&amp;'生成规范'!$B$8&amp;CHAR(10)&amp;"【单张范围】"&amp;E54&amp;CHAR(10)&amp;"【本组造型约束】"&amp;INDEX('素材需求'!$F$8:$F$119,MATCH(B54,'素材需求'!$A$8:$A$119,0))&amp;CHAR(10)&amp;"【参考对象】"&amp;F54&amp;CHAR(10)&amp;"【制作规格】"&amp;I54&amp;"；"&amp;INDEX('素材需求'!$M$8:$M$119,MATCH(B54,'素材需求'!$A$8:$A$119,0))&amp;CHAR(10)&amp;"【颜色】"&amp;'生成规范'!$B$10&amp;"；"&amp;'生成规范'!$B$11&amp;CHAR(10)&amp;"【输出规则】"&amp;'生成规范'!$B$12&amp;" 后处理对齐尺寸与轴点；交付用途："&amp;H54&amp;CHAR(10)&amp;"【禁止项】"&amp;'生成规范'!$B$9&amp;"；"&amp;INDEX('素材需求'!$N$8:$N$119,MATCH(B54,'素材需求'!$A$8:$A$119,0))</x:f>
        <x:v>【交付文件】nm_v2_agent_attack_reference_recover.png
【本张任务】攻击收势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【单张范围】只画本张：同一完整员工收回手臂恢复持械待机的关键姿，脚底与前两姿一致；本张仅这一独立交付单元，不含其他零件、对照姿势、sheet、文字、背景或地面投影。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共用三阶段节奏与下肢重心，手臂方向按各武器握点适配为近战挥击或远程前举；不为每武器重复订整套人物动作。 动作参考PNG仅指导后续分件动画，不是sprite帧、不是已经接入的动作；实际动画仍依赖pose.time/stride和真实状态，暂停时全部冻结。
【参考对象】现代员工握持短器械的收臂准备、向前出力和自然回收三个关键姿势；双脚支撑清楚，不借用士兵火力射击或魔法施法姿态。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54" s="37" t="str">
        <x:v>只画本张：同一完整员工收回手臂恢复持械待机的关键姿，脚底与前两姿一致；本张仅这一独立交付单元，不含其他零件、对照姿势、sheet、文字、背景或地面投影。</x:v>
      </x:c>
      <x:c r="F54" s="37" t="str">
        <x:f>INDEX('素材需求'!$G$8:$G$119,MATCH(B54,'素材需求'!$A$8:$A$119,0))</x:f>
        <x:v>现代员工握持短器械的收臂准备、向前出力和自然回收三个关键姿势；双脚支撑清楚，不借用士兵火力射击或魔法施法姿态。</x:v>
      </x:c>
      <x:c r="G54" s="37" t="str">
        <x:f>INDEX('素材需求'!$B$8:$B$119,MATCH(B54,'素材需求'!$A$8:$A$119,0))</x:f>
        <x:v>P0常态</x:v>
      </x:c>
      <x:c r="H54" s="37" t="str">
        <x:v>定稿／动作参考</x:v>
      </x:c>
      <x:c r="I5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54" s="37" t="str">
        <x:v>art_delivery/nm_v2/references/</x:v>
      </x:c>
      <x:c r="K54" s="45" t="str">
        <x:v>待生成</x:v>
      </x:c>
      <x:c r="L54" s="37" t="str">
        <x:v>recover</x:v>
      </x:c>
    </x:row>
    <x:row r="55" ht="314.25" customHeight="1">
      <x:c r="A55" s="38" t="str">
        <x:f>INDEX('素材需求'!$D$8:$D$119,MATCH(B55,'素材需求'!$A$8:$A$119,0))&amp;IF(L55="","","_"&amp;L55)&amp;".png"</x:f>
        <x:v>nm_v2_role_identity_reference_security.png</x:v>
      </x:c>
      <x:c r="B55" s="38" t="str">
        <x:v>NMV2_ROLE_001</x:v>
      </x:c>
      <x:c r="C55" s="38" t="str">
        <x:v>安全员外观</x:v>
      </x:c>
      <x:c r="D55" s="38" t="str">
        <x:f>"【交付文件】"&amp;A55&amp;CHAR(10)&amp;"【本张任务】"&amp;C55&amp;CHAR(10)&amp;'生成规范'!$B$8&amp;CHAR(10)&amp;"【单张范围】"&amp;E55&amp;CHAR(10)&amp;"【本组造型约束】"&amp;INDEX('素材需求'!$F$8:$F$119,MATCH(B55,'素材需求'!$A$8:$A$119,0))&amp;CHAR(10)&amp;"【参考对象】"&amp;F55&amp;CHAR(10)&amp;"【制作规格】"&amp;I55&amp;"；"&amp;INDEX('素材需求'!$M$8:$M$119,MATCH(B55,'素材需求'!$A$8:$A$119,0))&amp;CHAR(10)&amp;"【颜色】"&amp;'生成规范'!$B$10&amp;"；"&amp;'生成规范'!$B$11&amp;CHAR(10)&amp;"【输出规则】"&amp;'生成规范'!$B$12&amp;" 后处理对齐尺寸与轴点；交付用途："&amp;H55&amp;CHAR(10)&amp;"【禁止项】"&amp;'生成规范'!$B$9&amp;"；"&amp;INDEX('素材需求'!$N$8:$N$119,MATCH(B55,'素材需求'!$A$8:$A$119,0))</x:f>
        <x:v>【交付文件】nm_v2_role_identity_reference_security.png
【本张任务】安全员外观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位完整安全员，蓝灰短外套、薄型肩胸防护片与稳重站姿，露出友好面部；非士兵、无头盔或武器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安全/研究/技术/医疗仅服装轮廓与局部色块区分，共用相同比例、发型池、动画与四属性规则。职业不写入EmployeeRuntime，不分配治疗/维修/镇压能力；E01—E06可混搭发型。
【参考对象】同一员工基型上的四类现代机构工作装：轻便稳重安全员、冷白干净研究员、灰蓝工具袋技术员、白蓝舒适医疗员；职业只用服装轮廓与识别色区别。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55" s="38" t="str">
        <x:v>只画本张：一位完整安全员，蓝灰短外套、薄型肩胸防护片与稳重站姿，露出友好面部；非士兵、无头盔或武器；本张仅这一独立交付单元，不含其他零件、对照姿势、sheet、文字、背景或地面投影。</x:v>
      </x:c>
      <x:c r="F55" s="38" t="str">
        <x:f>INDEX('素材需求'!$G$8:$G$119,MATCH(B55,'素材需求'!$A$8:$A$119,0))</x:f>
        <x:v>同一员工基型上的四类现代机构工作装：轻便稳重安全员、冷白干净研究员、灰蓝工具袋技术员、白蓝舒适医疗员；职业只用服装轮廓与识别色区别。</x:v>
      </x:c>
      <x:c r="G55" s="38" t="str">
        <x:f>INDEX('素材需求'!$B$8:$B$119,MATCH(B55,'素材需求'!$A$8:$A$119,0))</x:f>
        <x:v>P0常态</x:v>
      </x:c>
      <x:c r="H55" s="38" t="str">
        <x:v>定稿／动作参考</x:v>
      </x:c>
      <x:c r="I5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55" s="38" t="str">
        <x:v>art_delivery/nm_v2/references/</x:v>
      </x:c>
      <x:c r="K55" s="45" t="str">
        <x:v>待生成</x:v>
      </x:c>
      <x:c r="L55" s="38" t="str">
        <x:v>security</x:v>
      </x:c>
    </x:row>
    <x:row r="56" ht="314.25" customHeight="1">
      <x:c r="A56" s="37" t="str">
        <x:f>INDEX('素材需求'!$D$8:$D$119,MATCH(B56,'素材需求'!$A$8:$A$119,0))&amp;IF(L56="","","_"&amp;L56)&amp;".png"</x:f>
        <x:v>nm_v2_role_identity_reference_research.png</x:v>
      </x:c>
      <x:c r="B56" s="37" t="str">
        <x:v>NMV2_ROLE_001</x:v>
      </x:c>
      <x:c r="C56" s="37" t="str">
        <x:v>研究员外观</x:v>
      </x:c>
      <x:c r="D56" s="37" t="str">
        <x:f>"【交付文件】"&amp;A56&amp;CHAR(10)&amp;"【本张任务】"&amp;C56&amp;CHAR(10)&amp;'生成规范'!$B$8&amp;CHAR(10)&amp;"【单张范围】"&amp;E56&amp;CHAR(10)&amp;"【本组造型约束】"&amp;INDEX('素材需求'!$F$8:$F$119,MATCH(B56,'素材需求'!$A$8:$A$119,0))&amp;CHAR(10)&amp;"【参考对象】"&amp;F56&amp;CHAR(10)&amp;"【制作规格】"&amp;I56&amp;"；"&amp;INDEX('素材需求'!$M$8:$M$119,MATCH(B56,'素材需求'!$A$8:$A$119,0))&amp;CHAR(10)&amp;"【颜色】"&amp;'生成规范'!$B$10&amp;"；"&amp;'生成规范'!$B$11&amp;CHAR(10)&amp;"【输出规则】"&amp;'生成规范'!$B$12&amp;" 后处理对齐尺寸与轴点；交付用途："&amp;H56&amp;CHAR(10)&amp;"【禁止项】"&amp;'生成规范'!$B$9&amp;"；"&amp;INDEX('素材需求'!$N$8:$N$119,MATCH(B56,'素材需求'!$A$8:$A$119,0))</x:f>
        <x:v>【交付文件】nm_v2_role_identity_reference_research.png
【本张任务】研究员外观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【单张范围】只画本张：一位完整研究员，冷白轻便科研外套配蓝灰内搭、无字工牌、轻文职气质；不画冷酷特工或重防护；本张仅这一独立交付单元，不含其他零件、对照姿势、sheet、文字、背景或地面投影。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安全/研究/技术/医疗仅服装轮廓与局部色块区分，共用相同比例、发型池、动画与四属性规则。职业不写入EmployeeRuntime，不分配治疗/维修/镇压能力；E01—E06可混搭发型。
【参考对象】同一员工基型上的四类现代机构工作装：轻便稳重安全员、冷白干净研究员、灰蓝工具袋技术员、白蓝舒适医疗员；职业只用服装轮廓与识别色区别。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56" s="37" t="str">
        <x:v>只画本张：一位完整研究员，冷白轻便科研外套配蓝灰内搭、无字工牌、轻文职气质；不画冷酷特工或重防护；本张仅这一独立交付单元，不含其他零件、对照姿势、sheet、文字、背景或地面投影。</x:v>
      </x:c>
      <x:c r="F56" s="37" t="str">
        <x:f>INDEX('素材需求'!$G$8:$G$119,MATCH(B56,'素材需求'!$A$8:$A$119,0))</x:f>
        <x:v>同一员工基型上的四类现代机构工作装：轻便稳重安全员、冷白干净研究员、灰蓝工具袋技术员、白蓝舒适医疗员；职业只用服装轮廓与识别色区别。</x:v>
      </x:c>
      <x:c r="G56" s="37" t="str">
        <x:f>INDEX('素材需求'!$B$8:$B$119,MATCH(B56,'素材需求'!$A$8:$A$119,0))</x:f>
        <x:v>P0常态</x:v>
      </x:c>
      <x:c r="H56" s="37" t="str">
        <x:v>定稿／动作参考</x:v>
      </x:c>
      <x:c r="I5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56" s="37" t="str">
        <x:v>art_delivery/nm_v2/references/</x:v>
      </x:c>
      <x:c r="K56" s="45" t="str">
        <x:v>待生成</x:v>
      </x:c>
      <x:c r="L56" s="37" t="str">
        <x:v>research</x:v>
      </x:c>
    </x:row>
    <x:row r="57" ht="314.25" customHeight="1">
      <x:c r="A57" s="38" t="str">
        <x:f>INDEX('素材需求'!$D$8:$D$119,MATCH(B57,'素材需求'!$A$8:$A$119,0))&amp;IF(L57="","","_"&amp;L57)&amp;".png"</x:f>
        <x:v>nm_v2_role_identity_reference_technical.png</x:v>
      </x:c>
      <x:c r="B57" s="38" t="str">
        <x:v>NMV2_ROLE_001</x:v>
      </x:c>
      <x:c r="C57" s="38" t="str">
        <x:v>技术员外观</x:v>
      </x:c>
      <x:c r="D57" s="38" t="str">
        <x:f>"【交付文件】"&amp;A57&amp;CHAR(10)&amp;"【本张任务】"&amp;C57&amp;CHAR(10)&amp;'生成规范'!$B$8&amp;CHAR(10)&amp;"【单张范围】"&amp;E57&amp;CHAR(10)&amp;"【本组造型约束】"&amp;INDEX('素材需求'!$F$8:$F$119,MATCH(B57,'素材需求'!$A$8:$A$119,0))&amp;CHAR(10)&amp;"【参考对象】"&amp;F57&amp;CHAR(10)&amp;"【制作规格】"&amp;I57&amp;"；"&amp;INDEX('素材需求'!$M$8:$M$119,MATCH(B57,'素材需求'!$A$8:$A$119,0))&amp;CHAR(10)&amp;"【颜色】"&amp;'生成规范'!$B$10&amp;"；"&amp;'生成规范'!$B$11&amp;CHAR(10)&amp;"【输出规则】"&amp;'生成规范'!$B$12&amp;" 后处理对齐尺寸与轴点；交付用途："&amp;H57&amp;CHAR(10)&amp;"【禁止项】"&amp;'生成规范'!$B$9&amp;"；"&amp;INDEX('素材需求'!$N$8:$N$119,MATCH(B57,'素材需求'!$A$8:$A$119,0))</x:f>
        <x:v>【交付文件】nm_v2_role_identity_reference_technical.png
【本张任务】技术员外观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【单张范围】只画本张：一位完整技术员，蓝灰工作背心、少量冷青工具袋与整洁腰部工具收纳轮廓；无新增工具操作特效；本张仅这一独立交付单元，不含其他零件、对照姿势、sheet、文字、背景或地面投影。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安全/研究/技术/医疗仅服装轮廓与局部色块区分，共用相同比例、发型池、动画与四属性规则。职业不写入EmployeeRuntime，不分配治疗/维修/镇压能力；E01—E06可混搭发型。
【参考对象】同一员工基型上的四类现代机构工作装：轻便稳重安全员、冷白干净研究员、灰蓝工具袋技术员、白蓝舒适医疗员；职业只用服装轮廓与识别色区别。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57" s="38" t="str">
        <x:v>只画本张：一位完整技术员，蓝灰工作背心、少量冷青工具袋与整洁腰部工具收纳轮廓；无新增工具操作特效；本张仅这一独立交付单元，不含其他零件、对照姿势、sheet、文字、背景或地面投影。</x:v>
      </x:c>
      <x:c r="F57" s="38" t="str">
        <x:f>INDEX('素材需求'!$G$8:$G$119,MATCH(B57,'素材需求'!$A$8:$A$119,0))</x:f>
        <x:v>同一员工基型上的四类现代机构工作装：轻便稳重安全员、冷白干净研究员、灰蓝工具袋技术员、白蓝舒适医疗员；职业只用服装轮廓与识别色区别。</x:v>
      </x:c>
      <x:c r="G57" s="38" t="str">
        <x:f>INDEX('素材需求'!$B$8:$B$119,MATCH(B57,'素材需求'!$A$8:$A$119,0))</x:f>
        <x:v>P0常态</x:v>
      </x:c>
      <x:c r="H57" s="38" t="str">
        <x:v>定稿／动作参考</x:v>
      </x:c>
      <x:c r="I5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57" s="38" t="str">
        <x:v>art_delivery/nm_v2/references/</x:v>
      </x:c>
      <x:c r="K57" s="45" t="str">
        <x:v>待生成</x:v>
      </x:c>
      <x:c r="L57" s="38" t="str">
        <x:v>technical</x:v>
      </x:c>
    </x:row>
    <x:row r="58" ht="314.25" customHeight="1">
      <x:c r="A58" s="37" t="str">
        <x:f>INDEX('素材需求'!$D$8:$D$119,MATCH(B58,'素材需求'!$A$8:$A$119,0))&amp;IF(L58="","","_"&amp;L58)&amp;".png"</x:f>
        <x:v>nm_v2_role_identity_reference_medical.png</x:v>
      </x:c>
      <x:c r="B58" s="37" t="str">
        <x:v>NMV2_ROLE_001</x:v>
      </x:c>
      <x:c r="C58" s="37" t="str">
        <x:v>医疗员外观</x:v>
      </x:c>
      <x:c r="D58" s="37" t="str">
        <x:f>"【交付文件】"&amp;A58&amp;CHAR(10)&amp;"【本张任务】"&amp;C58&amp;CHAR(10)&amp;'生成规范'!$B$8&amp;CHAR(10)&amp;"【单张范围】"&amp;E58&amp;CHAR(10)&amp;"【本组造型约束】"&amp;INDEX('素材需求'!$F$8:$F$119,MATCH(B58,'素材需求'!$A$8:$A$119,0))&amp;CHAR(10)&amp;"【参考对象】"&amp;F58&amp;CHAR(10)&amp;"【制作规格】"&amp;I58&amp;"；"&amp;INDEX('素材需求'!$M$8:$M$119,MATCH(B58,'素材需求'!$A$8:$A$119,0))&amp;CHAR(10)&amp;"【颜色】"&amp;'生成规范'!$B$10&amp;"；"&amp;'生成规范'!$B$11&amp;CHAR(10)&amp;"【输出规则】"&amp;'生成规范'!$B$12&amp;" 后处理对齐尺寸与轴点；交付用途："&amp;H58&amp;CHAR(10)&amp;"【禁止项】"&amp;'生成规范'!$B$9&amp;"；"&amp;INDEX('素材需求'!$N$8:$N$119,MATCH(B58,'素材需求'!$A$8:$A$119,0))</x:f>
        <x:v>【交付文件】nm_v2_role_identity_reference_medical.png
【本张任务】医疗员外观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位完整医疗外观员工，冷白与浅蓝短上衣、圆角支援标记、干净亲和；无治疗动作、光环或第二人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安全/研究/技术/医疗仅服装轮廓与局部色块区分，共用相同比例、发型池、动画与四属性规则。职业不写入EmployeeRuntime，不分配治疗/维修/镇压能力；E01—E06可混搭发型。
【参考对象】同一员工基型上的四类现代机构工作装：轻便稳重安全员、冷白干净研究员、灰蓝工具袋技术员、白蓝舒适医疗员；职业只用服装轮廓与识别色区别。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58" s="37" t="str">
        <x:v>只画本张：一位完整医疗外观员工，冷白与浅蓝短上衣、圆角支援标记、干净亲和；无治疗动作、光环或第二人；本张仅这一独立交付单元，不含其他零件、对照姿势、sheet、文字、背景或地面投影。</x:v>
      </x:c>
      <x:c r="F58" s="37" t="str">
        <x:f>INDEX('素材需求'!$G$8:$G$119,MATCH(B58,'素材需求'!$A$8:$A$119,0))</x:f>
        <x:v>同一员工基型上的四类现代机构工作装：轻便稳重安全员、冷白干净研究员、灰蓝工具袋技术员、白蓝舒适医疗员；职业只用服装轮廓与识别色区别。</x:v>
      </x:c>
      <x:c r="G58" s="37" t="str">
        <x:f>INDEX('素材需求'!$B$8:$B$119,MATCH(B58,'素材需求'!$A$8:$A$119,0))</x:f>
        <x:v>P0常态</x:v>
      </x:c>
      <x:c r="H58" s="37" t="str">
        <x:v>定稿／动作参考</x:v>
      </x:c>
      <x:c r="I5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58" s="37" t="str">
        <x:v>art_delivery/nm_v2/references/</x:v>
      </x:c>
      <x:c r="K58" s="45" t="str">
        <x:v>待生成</x:v>
      </x:c>
      <x:c r="L58" s="37" t="str">
        <x:v>medical</x:v>
      </x:c>
    </x:row>
    <x:row r="59" ht="314.25" customHeight="1">
      <x:c r="A59" s="38" t="str">
        <x:f>INDEX('素材需求'!$D$8:$D$119,MATCH(B59,'素材需求'!$A$8:$A$119,0))&amp;IF(L59="","","_"&amp;L59)&amp;".png"</x:f>
        <x:v>nm_v2_role_security_parts_torso.png</x:v>
      </x:c>
      <x:c r="B59" s="38" t="str">
        <x:v>NMV2_ROLE_002</x:v>
      </x:c>
      <x:c r="C59" s="38" t="str">
        <x:v>安全员躯干层</x:v>
      </x:c>
      <x:c r="D59" s="38" t="str">
        <x:f>"【交付文件】"&amp;A59&amp;CHAR(10)&amp;"【本张任务】"&amp;C59&amp;CHAR(10)&amp;'生成规范'!$B$8&amp;CHAR(10)&amp;"【单张范围】"&amp;E59&amp;CHAR(10)&amp;"【本组造型约束】"&amp;INDEX('素材需求'!$F$8:$F$119,MATCH(B59,'素材需求'!$A$8:$A$119,0))&amp;CHAR(10)&amp;"【参考对象】"&amp;F59&amp;CHAR(10)&amp;"【制作规格】"&amp;I59&amp;"；"&amp;INDEX('素材需求'!$M$8:$M$119,MATCH(B59,'素材需求'!$A$8:$A$119,0))&amp;CHAR(10)&amp;"【颜色】"&amp;'生成规范'!$B$10&amp;"；"&amp;'生成规范'!$B$11&amp;CHAR(10)&amp;"【输出规则】"&amp;'生成规范'!$B$12&amp;" 后处理对齐尺寸与轴点；交付用途："&amp;H59&amp;CHAR(10)&amp;"【禁止项】"&amp;'生成规范'!$B$9&amp;"；"&amp;INDEX('素材需求'!$N$8:$N$119,MATCH(B59,'素材需求'!$A$8:$A$119,0))</x:f>
        <x:v>【交付文件】nm_v2_role_security_parts_torso.png
【本张任务】安全员躯干层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安全员的深蓝灰短外套与薄型胸护片、窄冷青边线，稳重但不过度装甲躯干外观叠层，领口/腰部识别细节并入躯干；仅肩根余量，无头、完整袖子或四肢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深蓝灰短外套与薄型胸护片、窄冷青边线，稳重但不过度装甲；只交躯干与近/远肩3件，手脚/发型/身体骨架共用。装备A01—A05的已装备躯干/肩片优先显示，职业不得与装备双重套壳。
【参考对象】现代设施安全员的蓝灰轻防护背心和短肩层，稳重、灵活，不像士兵；与新版员工基型同肩宽、同腰线，六发型和手脚直接共用。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59" s="38" t="str">
        <x:v>只画本张：安全员的深蓝灰短外套与薄型胸护片、窄冷青边线，稳重但不过度装甲躯干外观叠层，领口/腰部识别细节并入躯干；仅肩根余量，无头、完整袖子或四肢；本张仅这一独立交付单元，不含其他零件、对照姿势、sheet、文字、背景或地面投影。</x:v>
      </x:c>
      <x:c r="F59" s="38" t="str">
        <x:f>INDEX('素材需求'!$G$8:$G$119,MATCH(B59,'素材需求'!$A$8:$A$119,0))</x:f>
        <x:v>现代设施安全员的蓝灰轻防护背心和短肩层，稳重、灵活，不像士兵；与新版员工基型同肩宽、同腰线，六发型和手脚直接共用。</x:v>
      </x:c>
      <x:c r="G59" s="38" t="str">
        <x:f>INDEX('素材需求'!$B$8:$B$119,MATCH(B59,'素材需求'!$A$8:$A$119,0))</x:f>
        <x:v>P0常态</x:v>
      </x:c>
      <x:c r="H59" s="38" t="str">
        <x:v>游戏拆件／贴图</x:v>
      </x:c>
      <x:c r="I5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59" s="38" t="str">
        <x:v>art_delivery/nm_v2/characters/</x:v>
      </x:c>
      <x:c r="K59" s="45" t="str">
        <x:v>待生成</x:v>
      </x:c>
      <x:c r="L59" s="38" t="str">
        <x:v>torso</x:v>
      </x:c>
    </x:row>
    <x:row r="60" ht="300" customHeight="1">
      <x:c r="A60" s="37" t="str">
        <x:f>INDEX('素材需求'!$D$8:$D$119,MATCH(B60,'素材需求'!$A$8:$A$119,0))&amp;IF(L60="","","_"&amp;L60)&amp;".png"</x:f>
        <x:v>nm_v2_role_security_parts_shoulder_near.png</x:v>
      </x:c>
      <x:c r="B60" s="37" t="str">
        <x:v>NMV2_ROLE_002</x:v>
      </x:c>
      <x:c r="C60" s="37" t="str">
        <x:v>安全员近肩层</x:v>
      </x:c>
      <x:c r="D60" s="37" t="str">
        <x:f>"【交付文件】"&amp;A60&amp;CHAR(10)&amp;"【本张任务】"&amp;C60&amp;CHAR(10)&amp;'生成规范'!$B$8&amp;CHAR(10)&amp;"【单张范围】"&amp;E60&amp;CHAR(10)&amp;"【本组造型约束】"&amp;INDEX('素材需求'!$F$8:$F$119,MATCH(B60,'素材需求'!$A$8:$A$119,0))&amp;CHAR(10)&amp;"【参考对象】"&amp;F60&amp;CHAR(10)&amp;"【制作规格】"&amp;I60&amp;"；"&amp;INDEX('素材需求'!$M$8:$M$119,MATCH(B60,'素材需求'!$A$8:$A$119,0))&amp;CHAR(10)&amp;"【颜色】"&amp;'生成规范'!$B$10&amp;"；"&amp;'生成规范'!$B$11&amp;CHAR(10)&amp;"【输出规则】"&amp;'生成规范'!$B$12&amp;" 后处理对齐尺寸与轴点；交付用途："&amp;H60&amp;CHAR(10)&amp;"【禁止项】"&amp;'生成规范'!$B$9&amp;"；"&amp;INDEX('素材需求'!$N$8:$N$119,MATCH(B60,'素材需求'!$A$8:$A$119,0))</x:f>
        <x:v>【交付文件】nm_v2_role_security_parts_shoulder_near.png
【本张任务】安全员近肩层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【单张范围】只画本张：安全员的近侧短肩片/袖根外观叠层，沿用共用肩宽，冷色块克制；无躯干或整臂；本张仅这一独立交付单元，不含其他零件、对照姿势、sheet、文字、背景或地面投影。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深蓝灰短外套与薄型胸护片、窄冷青边线，稳重但不过度装甲；只交躯干与近/远肩3件，手脚/发型/身体骨架共用。装备A01—A05的已装备躯干/肩片优先显示，职业不得与装备双重套壳。
【参考对象】现代设施安全员的蓝灰轻防护背心和短肩层，稳重、灵活，不像士兵；与新版员工基型同肩宽、同腰线，六发型和手脚直接共用。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60" s="37" t="str">
        <x:v>只画本张：安全员的近侧短肩片/袖根外观叠层，沿用共用肩宽，冷色块克制；无躯干或整臂；本张仅这一独立交付单元，不含其他零件、对照姿势、sheet、文字、背景或地面投影。</x:v>
      </x:c>
      <x:c r="F60" s="37" t="str">
        <x:f>INDEX('素材需求'!$G$8:$G$119,MATCH(B60,'素材需求'!$A$8:$A$119,0))</x:f>
        <x:v>现代设施安全员的蓝灰轻防护背心和短肩层，稳重、灵活，不像士兵；与新版员工基型同肩宽、同腰线，六发型和手脚直接共用。</x:v>
      </x:c>
      <x:c r="G60" s="37" t="str">
        <x:f>INDEX('素材需求'!$B$8:$B$119,MATCH(B60,'素材需求'!$A$8:$A$119,0))</x:f>
        <x:v>P0常态</x:v>
      </x:c>
      <x:c r="H60" s="37" t="str">
        <x:v>游戏拆件／贴图</x:v>
      </x:c>
      <x:c r="I6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60" s="37" t="str">
        <x:v>art_delivery/nm_v2/characters/</x:v>
      </x:c>
      <x:c r="K60" s="45" t="str">
        <x:v>待生成</x:v>
      </x:c>
      <x:c r="L60" s="37" t="str">
        <x:v>shoulder_near</x:v>
      </x:c>
    </x:row>
    <x:row r="61" ht="314.25" customHeight="1">
      <x:c r="A61" s="38" t="str">
        <x:f>INDEX('素材需求'!$D$8:$D$119,MATCH(B61,'素材需求'!$A$8:$A$119,0))&amp;IF(L61="","","_"&amp;L61)&amp;".png"</x:f>
        <x:v>nm_v2_role_security_parts_shoulder_far.png</x:v>
      </x:c>
      <x:c r="B61" s="38" t="str">
        <x:v>NMV2_ROLE_002</x:v>
      </x:c>
      <x:c r="C61" s="38" t="str">
        <x:v>安全员远肩层</x:v>
      </x:c>
      <x:c r="D61" s="38" t="str">
        <x:f>"【交付文件】"&amp;A61&amp;CHAR(10)&amp;"【本张任务】"&amp;C61&amp;CHAR(10)&amp;'生成规范'!$B$8&amp;CHAR(10)&amp;"【单张范围】"&amp;E61&amp;CHAR(10)&amp;"【本组造型约束】"&amp;INDEX('素材需求'!$F$8:$F$119,MATCH(B61,'素材需求'!$A$8:$A$119,0))&amp;CHAR(10)&amp;"【参考对象】"&amp;F61&amp;CHAR(10)&amp;"【制作规格】"&amp;I61&amp;"；"&amp;INDEX('素材需求'!$M$8:$M$119,MATCH(B61,'素材需求'!$A$8:$A$119,0))&amp;CHAR(10)&amp;"【颜色】"&amp;'生成规范'!$B$10&amp;"；"&amp;'生成规范'!$B$11&amp;CHAR(10)&amp;"【输出规则】"&amp;'生成规范'!$B$12&amp;" 后处理对齐尺寸与轴点；交付用途："&amp;H61&amp;CHAR(10)&amp;"【禁止项】"&amp;'生成规范'!$B$9&amp;"；"&amp;INDEX('素材需求'!$N$8:$N$119,MATCH(B61,'素材需求'!$A$8:$A$119,0))</x:f>
        <x:v>【交付文件】nm_v2_role_security_parts_shoulder_far.png
【本张任务】安全员远肩层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【单张范围】只画本张：安全员的远侧短肩片/袖根外观叠层，与近肩同材质但遮挡轮廓略窄；无躯干或整臂；本张仅这一独立交付单元，不含其他零件、对照姿势、sheet、文字、背景或地面投影。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深蓝灰短外套与薄型胸护片、窄冷青边线，稳重但不过度装甲；只交躯干与近/远肩3件，手脚/发型/身体骨架共用。装备A01—A05的已装备躯干/肩片优先显示，职业不得与装备双重套壳。
【参考对象】现代设施安全员的蓝灰轻防护背心和短肩层，稳重、灵活，不像士兵；与新版员工基型同肩宽、同腰线，六发型和手脚直接共用。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61" s="38" t="str">
        <x:v>只画本张：安全员的远侧短肩片/袖根外观叠层，与近肩同材质但遮挡轮廓略窄；无躯干或整臂；本张仅这一独立交付单元，不含其他零件、对照姿势、sheet、文字、背景或地面投影。</x:v>
      </x:c>
      <x:c r="F61" s="38" t="str">
        <x:f>INDEX('素材需求'!$G$8:$G$119,MATCH(B61,'素材需求'!$A$8:$A$119,0))</x:f>
        <x:v>现代设施安全员的蓝灰轻防护背心和短肩层，稳重、灵活，不像士兵；与新版员工基型同肩宽、同腰线，六发型和手脚直接共用。</x:v>
      </x:c>
      <x:c r="G61" s="38" t="str">
        <x:f>INDEX('素材需求'!$B$8:$B$119,MATCH(B61,'素材需求'!$A$8:$A$119,0))</x:f>
        <x:v>P0常态</x:v>
      </x:c>
      <x:c r="H61" s="38" t="str">
        <x:v>游戏拆件／贴图</x:v>
      </x:c>
      <x:c r="I6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61" s="38" t="str">
        <x:v>art_delivery/nm_v2/characters/</x:v>
      </x:c>
      <x:c r="K61" s="45" t="str">
        <x:v>待生成</x:v>
      </x:c>
      <x:c r="L61" s="38" t="str">
        <x:v>shoulder_far</x:v>
      </x:c>
    </x:row>
    <x:row r="62" ht="314.25" customHeight="1">
      <x:c r="A62" s="37" t="str">
        <x:f>INDEX('素材需求'!$D$8:$D$119,MATCH(B62,'素材需求'!$A$8:$A$119,0))&amp;IF(L62="","","_"&amp;L62)&amp;".png"</x:f>
        <x:v>nm_v2_role_research_parts_torso.png</x:v>
      </x:c>
      <x:c r="B62" s="37" t="str">
        <x:v>NMV2_ROLE_003</x:v>
      </x:c>
      <x:c r="C62" s="37" t="str">
        <x:v>研究员躯干层</x:v>
      </x:c>
      <x:c r="D62" s="37" t="str">
        <x:f>"【交付文件】"&amp;A62&amp;CHAR(10)&amp;"【本张任务】"&amp;C62&amp;CHAR(10)&amp;'生成规范'!$B$8&amp;CHAR(10)&amp;"【单张范围】"&amp;E62&amp;CHAR(10)&amp;"【本组造型约束】"&amp;INDEX('素材需求'!$F$8:$F$119,MATCH(B62,'素材需求'!$A$8:$A$119,0))&amp;CHAR(10)&amp;"【参考对象】"&amp;F62&amp;CHAR(10)&amp;"【制作规格】"&amp;I62&amp;"；"&amp;INDEX('素材需求'!$M$8:$M$119,MATCH(B62,'素材需求'!$A$8:$A$119,0))&amp;CHAR(10)&amp;"【颜色】"&amp;'生成规范'!$B$10&amp;"；"&amp;'生成规范'!$B$11&amp;CHAR(10)&amp;"【输出规则】"&amp;'生成规范'!$B$12&amp;" 后处理对齐尺寸与轴点；交付用途："&amp;H62&amp;CHAR(10)&amp;"【禁止项】"&amp;'生成规范'!$B$9&amp;"；"&amp;INDEX('素材需求'!$N$8:$N$119,MATCH(B62,'素材需求'!$A$8:$A$119,0))</x:f>
        <x:v>【交付文件】nm_v2_role_research_parts_torso.png
【本张任务】研究员躯干层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研究员的冷白轻科研外套与蓝灰内搭、柔和短翻领、无字工牌，袖口轻便躯干外观叠层，领口/腰部识别细节并入躯干；仅肩根余量，无头、完整袖子或四肢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冷白轻科研外套与蓝灰内搭、柔和短翻领、无字工牌，袖口轻便；只交躯干与近/远肩3件，手脚/发型/身体骨架共用。装备A01—A05的已装备躯干/肩片优先显示，职业不得与装备双重套壳。
【参考对象】现代研究员的冷白轻便短科研外套与蓝灰内搭，干净理性但亲和，不像特工；与新版员工基型同肩宽、同腰线，六发型和手脚直接共用。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62" s="37" t="str">
        <x:v>只画本张：研究员的冷白轻科研外套与蓝灰内搭、柔和短翻领、无字工牌，袖口轻便躯干外观叠层，领口/腰部识别细节并入躯干；仅肩根余量，无头、完整袖子或四肢；本张仅这一独立交付单元，不含其他零件、对照姿势、sheet、文字、背景或地面投影。</x:v>
      </x:c>
      <x:c r="F62" s="37" t="str">
        <x:f>INDEX('素材需求'!$G$8:$G$119,MATCH(B62,'素材需求'!$A$8:$A$119,0))</x:f>
        <x:v>现代研究员的冷白轻便短科研外套与蓝灰内搭，干净理性但亲和，不像特工；与新版员工基型同肩宽、同腰线，六发型和手脚直接共用。</x:v>
      </x:c>
      <x:c r="G62" s="37" t="str">
        <x:f>INDEX('素材需求'!$B$8:$B$119,MATCH(B62,'素材需求'!$A$8:$A$119,0))</x:f>
        <x:v>P0常态</x:v>
      </x:c>
      <x:c r="H62" s="37" t="str">
        <x:v>游戏拆件／贴图</x:v>
      </x:c>
      <x:c r="I6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62" s="37" t="str">
        <x:v>art_delivery/nm_v2/characters/</x:v>
      </x:c>
      <x:c r="K62" s="45" t="str">
        <x:v>待生成</x:v>
      </x:c>
      <x:c r="L62" s="37" t="str">
        <x:v>torso</x:v>
      </x:c>
    </x:row>
    <x:row r="63" ht="300" customHeight="1">
      <x:c r="A63" s="38" t="str">
        <x:f>INDEX('素材需求'!$D$8:$D$119,MATCH(B63,'素材需求'!$A$8:$A$119,0))&amp;IF(L63="","","_"&amp;L63)&amp;".png"</x:f>
        <x:v>nm_v2_role_research_parts_shoulder_near.png</x:v>
      </x:c>
      <x:c r="B63" s="38" t="str">
        <x:v>NMV2_ROLE_003</x:v>
      </x:c>
      <x:c r="C63" s="38" t="str">
        <x:v>研究员近肩层</x:v>
      </x:c>
      <x:c r="D63" s="38" t="str">
        <x:f>"【交付文件】"&amp;A63&amp;CHAR(10)&amp;"【本张任务】"&amp;C63&amp;CHAR(10)&amp;'生成规范'!$B$8&amp;CHAR(10)&amp;"【单张范围】"&amp;E63&amp;CHAR(10)&amp;"【本组造型约束】"&amp;INDEX('素材需求'!$F$8:$F$119,MATCH(B63,'素材需求'!$A$8:$A$119,0))&amp;CHAR(10)&amp;"【参考对象】"&amp;F63&amp;CHAR(10)&amp;"【制作规格】"&amp;I63&amp;"；"&amp;INDEX('素材需求'!$M$8:$M$119,MATCH(B63,'素材需求'!$A$8:$A$119,0))&amp;CHAR(10)&amp;"【颜色】"&amp;'生成规范'!$B$10&amp;"；"&amp;'生成规范'!$B$11&amp;CHAR(10)&amp;"【输出规则】"&amp;'生成规范'!$B$12&amp;" 后处理对齐尺寸与轴点；交付用途："&amp;H63&amp;CHAR(10)&amp;"【禁止项】"&amp;'生成规范'!$B$9&amp;"；"&amp;INDEX('素材需求'!$N$8:$N$119,MATCH(B63,'素材需求'!$A$8:$A$119,0))</x:f>
        <x:v>【交付文件】nm_v2_role_research_parts_shoulder_near.png
【本张任务】研究员近肩层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【单张范围】只画本张：研究员的近侧短肩片/袖根外观叠层，沿用共用肩宽，冷色块克制；无躯干或整臂；本张仅这一独立交付单元，不含其他零件、对照姿势、sheet、文字、背景或地面投影。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冷白轻科研外套与蓝灰内搭、柔和短翻领、无字工牌，袖口轻便；只交躯干与近/远肩3件，手脚/发型/身体骨架共用。装备A01—A05的已装备躯干/肩片优先显示，职业不得与装备双重套壳。
【参考对象】现代研究员的冷白轻便短科研外套与蓝灰内搭，干净理性但亲和，不像特工；与新版员工基型同肩宽、同腰线，六发型和手脚直接共用。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63" s="38" t="str">
        <x:v>只画本张：研究员的近侧短肩片/袖根外观叠层，沿用共用肩宽，冷色块克制；无躯干或整臂；本张仅这一独立交付单元，不含其他零件、对照姿势、sheet、文字、背景或地面投影。</x:v>
      </x:c>
      <x:c r="F63" s="38" t="str">
        <x:f>INDEX('素材需求'!$G$8:$G$119,MATCH(B63,'素材需求'!$A$8:$A$119,0))</x:f>
        <x:v>现代研究员的冷白轻便短科研外套与蓝灰内搭，干净理性但亲和，不像特工；与新版员工基型同肩宽、同腰线，六发型和手脚直接共用。</x:v>
      </x:c>
      <x:c r="G63" s="38" t="str">
        <x:f>INDEX('素材需求'!$B$8:$B$119,MATCH(B63,'素材需求'!$A$8:$A$119,0))</x:f>
        <x:v>P0常态</x:v>
      </x:c>
      <x:c r="H63" s="38" t="str">
        <x:v>游戏拆件／贴图</x:v>
      </x:c>
      <x:c r="I6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63" s="38" t="str">
        <x:v>art_delivery/nm_v2/characters/</x:v>
      </x:c>
      <x:c r="K63" s="45" t="str">
        <x:v>待生成</x:v>
      </x:c>
      <x:c r="L63" s="38" t="str">
        <x:v>shoulder_near</x:v>
      </x:c>
    </x:row>
    <x:row r="64" ht="314.25" customHeight="1">
      <x:c r="A64" s="37" t="str">
        <x:f>INDEX('素材需求'!$D$8:$D$119,MATCH(B64,'素材需求'!$A$8:$A$119,0))&amp;IF(L64="","","_"&amp;L64)&amp;".png"</x:f>
        <x:v>nm_v2_role_research_parts_shoulder_far.png</x:v>
      </x:c>
      <x:c r="B64" s="37" t="str">
        <x:v>NMV2_ROLE_003</x:v>
      </x:c>
      <x:c r="C64" s="37" t="str">
        <x:v>研究员远肩层</x:v>
      </x:c>
      <x:c r="D64" s="37" t="str">
        <x:f>"【交付文件】"&amp;A64&amp;CHAR(10)&amp;"【本张任务】"&amp;C64&amp;CHAR(10)&amp;'生成规范'!$B$8&amp;CHAR(10)&amp;"【单张范围】"&amp;E64&amp;CHAR(10)&amp;"【本组造型约束】"&amp;INDEX('素材需求'!$F$8:$F$119,MATCH(B64,'素材需求'!$A$8:$A$119,0))&amp;CHAR(10)&amp;"【参考对象】"&amp;F64&amp;CHAR(10)&amp;"【制作规格】"&amp;I64&amp;"；"&amp;INDEX('素材需求'!$M$8:$M$119,MATCH(B64,'素材需求'!$A$8:$A$119,0))&amp;CHAR(10)&amp;"【颜色】"&amp;'生成规范'!$B$10&amp;"；"&amp;'生成规范'!$B$11&amp;CHAR(10)&amp;"【输出规则】"&amp;'生成规范'!$B$12&amp;" 后处理对齐尺寸与轴点；交付用途："&amp;H64&amp;CHAR(10)&amp;"【禁止项】"&amp;'生成规范'!$B$9&amp;"；"&amp;INDEX('素材需求'!$N$8:$N$119,MATCH(B64,'素材需求'!$A$8:$A$119,0))</x:f>
        <x:v>【交付文件】nm_v2_role_research_parts_shoulder_far.png
【本张任务】研究员远肩层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【单张范围】只画本张：研究员的远侧短肩片/袖根外观叠层，与近肩同材质但遮挡轮廓略窄；无躯干或整臂；本张仅这一独立交付单元，不含其他零件、对照姿势、sheet、文字、背景或地面投影。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冷白轻科研外套与蓝灰内搭、柔和短翻领、无字工牌，袖口轻便；只交躯干与近/远肩3件，手脚/发型/身体骨架共用。装备A01—A05的已装备躯干/肩片优先显示，职业不得与装备双重套壳。
【参考对象】现代研究员的冷白轻便短科研外套与蓝灰内搭，干净理性但亲和，不像特工；与新版员工基型同肩宽、同腰线，六发型和手脚直接共用。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64" s="37" t="str">
        <x:v>只画本张：研究员的远侧短肩片/袖根外观叠层，与近肩同材质但遮挡轮廓略窄；无躯干或整臂；本张仅这一独立交付单元，不含其他零件、对照姿势、sheet、文字、背景或地面投影。</x:v>
      </x:c>
      <x:c r="F64" s="37" t="str">
        <x:f>INDEX('素材需求'!$G$8:$G$119,MATCH(B64,'素材需求'!$A$8:$A$119,0))</x:f>
        <x:v>现代研究员的冷白轻便短科研外套与蓝灰内搭，干净理性但亲和，不像特工；与新版员工基型同肩宽、同腰线，六发型和手脚直接共用。</x:v>
      </x:c>
      <x:c r="G64" s="37" t="str">
        <x:f>INDEX('素材需求'!$B$8:$B$119,MATCH(B64,'素材需求'!$A$8:$A$119,0))</x:f>
        <x:v>P0常态</x:v>
      </x:c>
      <x:c r="H64" s="37" t="str">
        <x:v>游戏拆件／贴图</x:v>
      </x:c>
      <x:c r="I6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64" s="37" t="str">
        <x:v>art_delivery/nm_v2/characters/</x:v>
      </x:c>
      <x:c r="K64" s="45" t="str">
        <x:v>待生成</x:v>
      </x:c>
      <x:c r="L64" s="37" t="str">
        <x:v>shoulder_far</x:v>
      </x:c>
    </x:row>
    <x:row r="65" ht="314.25" customHeight="1">
      <x:c r="A65" s="38" t="str">
        <x:f>INDEX('素材需求'!$D$8:$D$119,MATCH(B65,'素材需求'!$A$8:$A$119,0))&amp;IF(L65="","","_"&amp;L65)&amp;".png"</x:f>
        <x:v>nm_v2_role_technical_parts_torso.png</x:v>
      </x:c>
      <x:c r="B65" s="38" t="str">
        <x:v>NMV2_ROLE_004</x:v>
      </x:c>
      <x:c r="C65" s="38" t="str">
        <x:v>技术员躯干层</x:v>
      </x:c>
      <x:c r="D65" s="38" t="str">
        <x:f>"【交付文件】"&amp;A65&amp;CHAR(10)&amp;"【本张任务】"&amp;C65&amp;CHAR(10)&amp;'生成规范'!$B$8&amp;CHAR(10)&amp;"【单张范围】"&amp;E65&amp;CHAR(10)&amp;"【本组造型约束】"&amp;INDEX('素材需求'!$F$8:$F$119,MATCH(B65,'素材需求'!$A$8:$A$119,0))&amp;CHAR(10)&amp;"【参考对象】"&amp;F65&amp;CHAR(10)&amp;"【制作规格】"&amp;I65&amp;"；"&amp;INDEX('素材需求'!$M$8:$M$119,MATCH(B65,'素材需求'!$A$8:$A$119,0))&amp;CHAR(10)&amp;"【颜色】"&amp;'生成规范'!$B$10&amp;"；"&amp;'生成规范'!$B$11&amp;CHAR(10)&amp;"【输出规则】"&amp;'生成规范'!$B$12&amp;" 后处理对齐尺寸与轴点；交付用途："&amp;H65&amp;CHAR(10)&amp;"【禁止项】"&amp;'生成规范'!$B$9&amp;"；"&amp;INDEX('素材需求'!$N$8:$N$119,MATCH(B65,'素材需求'!$A$8:$A$119,0))</x:f>
        <x:v>【交付文件】nm_v2_role_technical_parts_torso.png
【本张任务】技术员躯干层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技术员的金属灰工作背心、冷青小口袋、腰部扁平工具收纳轮廓，现代整洁躯干外观叠层，领口/腰部识别细节并入躯干；仅肩根余量，无头、完整袖子或四肢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金属灰工作背心、冷青小口袋、腰部扁平工具收纳轮廓，现代整洁；只交躯干与近/远肩3件，手脚/发型/身体骨架共用。装备A01—A05的已装备躯干/肩片优先显示，职业不得与装备双重套壳。
【参考对象】现代维护技术员的灰蓝短工装、并入躯干的扁平工具袋和小块冷青识别；与新版员工基型同肩宽、同腰线，六发型和手脚直接共用。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65" s="38" t="str">
        <x:v>只画本张：技术员的金属灰工作背心、冷青小口袋、腰部扁平工具收纳轮廓，现代整洁躯干外观叠层，领口/腰部识别细节并入躯干；仅肩根余量，无头、完整袖子或四肢；本张仅这一独立交付单元，不含其他零件、对照姿势、sheet、文字、背景或地面投影。</x:v>
      </x:c>
      <x:c r="F65" s="38" t="str">
        <x:f>INDEX('素材需求'!$G$8:$G$119,MATCH(B65,'素材需求'!$A$8:$A$119,0))</x:f>
        <x:v>现代维护技术员的灰蓝短工装、并入躯干的扁平工具袋和小块冷青识别；与新版员工基型同肩宽、同腰线，六发型和手脚直接共用。</x:v>
      </x:c>
      <x:c r="G65" s="38" t="str">
        <x:f>INDEX('素材需求'!$B$8:$B$119,MATCH(B65,'素材需求'!$A$8:$A$119,0))</x:f>
        <x:v>P0常态</x:v>
      </x:c>
      <x:c r="H65" s="38" t="str">
        <x:v>游戏拆件／贴图</x:v>
      </x:c>
      <x:c r="I6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65" s="38" t="str">
        <x:v>art_delivery/nm_v2/characters/</x:v>
      </x:c>
      <x:c r="K65" s="45" t="str">
        <x:v>待生成</x:v>
      </x:c>
      <x:c r="L65" s="38" t="str">
        <x:v>torso</x:v>
      </x:c>
    </x:row>
    <x:row r="66" ht="300" customHeight="1">
      <x:c r="A66" s="37" t="str">
        <x:f>INDEX('素材需求'!$D$8:$D$119,MATCH(B66,'素材需求'!$A$8:$A$119,0))&amp;IF(L66="","","_"&amp;L66)&amp;".png"</x:f>
        <x:v>nm_v2_role_technical_parts_shoulder_near.png</x:v>
      </x:c>
      <x:c r="B66" s="37" t="str">
        <x:v>NMV2_ROLE_004</x:v>
      </x:c>
      <x:c r="C66" s="37" t="str">
        <x:v>技术员近肩层</x:v>
      </x:c>
      <x:c r="D66" s="37" t="str">
        <x:f>"【交付文件】"&amp;A66&amp;CHAR(10)&amp;"【本张任务】"&amp;C66&amp;CHAR(10)&amp;'生成规范'!$B$8&amp;CHAR(10)&amp;"【单张范围】"&amp;E66&amp;CHAR(10)&amp;"【本组造型约束】"&amp;INDEX('素材需求'!$F$8:$F$119,MATCH(B66,'素材需求'!$A$8:$A$119,0))&amp;CHAR(10)&amp;"【参考对象】"&amp;F66&amp;CHAR(10)&amp;"【制作规格】"&amp;I66&amp;"；"&amp;INDEX('素材需求'!$M$8:$M$119,MATCH(B66,'素材需求'!$A$8:$A$119,0))&amp;CHAR(10)&amp;"【颜色】"&amp;'生成规范'!$B$10&amp;"；"&amp;'生成规范'!$B$11&amp;CHAR(10)&amp;"【输出规则】"&amp;'生成规范'!$B$12&amp;" 后处理对齐尺寸与轴点；交付用途："&amp;H66&amp;CHAR(10)&amp;"【禁止项】"&amp;'生成规范'!$B$9&amp;"；"&amp;INDEX('素材需求'!$N$8:$N$119,MATCH(B66,'素材需求'!$A$8:$A$119,0))</x:f>
        <x:v>【交付文件】nm_v2_role_technical_parts_shoulder_near.png
【本张任务】技术员近肩层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【单张范围】只画本张：技术员的近侧短肩片/袖根外观叠层，沿用共用肩宽，冷色块克制；无躯干或整臂；本张仅这一独立交付单元，不含其他零件、对照姿势、sheet、文字、背景或地面投影。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金属灰工作背心、冷青小口袋、腰部扁平工具收纳轮廓，现代整洁；只交躯干与近/远肩3件，手脚/发型/身体骨架共用。装备A01—A05的已装备躯干/肩片优先显示，职业不得与装备双重套壳。
【参考对象】现代维护技术员的灰蓝短工装、并入躯干的扁平工具袋和小块冷青识别；与新版员工基型同肩宽、同腰线，六发型和手脚直接共用。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66" s="37" t="str">
        <x:v>只画本张：技术员的近侧短肩片/袖根外观叠层，沿用共用肩宽，冷色块克制；无躯干或整臂；本张仅这一独立交付单元，不含其他零件、对照姿势、sheet、文字、背景或地面投影。</x:v>
      </x:c>
      <x:c r="F66" s="37" t="str">
        <x:f>INDEX('素材需求'!$G$8:$G$119,MATCH(B66,'素材需求'!$A$8:$A$119,0))</x:f>
        <x:v>现代维护技术员的灰蓝短工装、并入躯干的扁平工具袋和小块冷青识别；与新版员工基型同肩宽、同腰线，六发型和手脚直接共用。</x:v>
      </x:c>
      <x:c r="G66" s="37" t="str">
        <x:f>INDEX('素材需求'!$B$8:$B$119,MATCH(B66,'素材需求'!$A$8:$A$119,0))</x:f>
        <x:v>P0常态</x:v>
      </x:c>
      <x:c r="H66" s="37" t="str">
        <x:v>游戏拆件／贴图</x:v>
      </x:c>
      <x:c r="I6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66" s="37" t="str">
        <x:v>art_delivery/nm_v2/characters/</x:v>
      </x:c>
      <x:c r="K66" s="45" t="str">
        <x:v>待生成</x:v>
      </x:c>
      <x:c r="L66" s="37" t="str">
        <x:v>shoulder_near</x:v>
      </x:c>
    </x:row>
    <x:row r="67" ht="314.25" customHeight="1">
      <x:c r="A67" s="38" t="str">
        <x:f>INDEX('素材需求'!$D$8:$D$119,MATCH(B67,'素材需求'!$A$8:$A$119,0))&amp;IF(L67="","","_"&amp;L67)&amp;".png"</x:f>
        <x:v>nm_v2_role_technical_parts_shoulder_far.png</x:v>
      </x:c>
      <x:c r="B67" s="38" t="str">
        <x:v>NMV2_ROLE_004</x:v>
      </x:c>
      <x:c r="C67" s="38" t="str">
        <x:v>技术员远肩层</x:v>
      </x:c>
      <x:c r="D67" s="38" t="str">
        <x:f>"【交付文件】"&amp;A67&amp;CHAR(10)&amp;"【本张任务】"&amp;C67&amp;CHAR(10)&amp;'生成规范'!$B$8&amp;CHAR(10)&amp;"【单张范围】"&amp;E67&amp;CHAR(10)&amp;"【本组造型约束】"&amp;INDEX('素材需求'!$F$8:$F$119,MATCH(B67,'素材需求'!$A$8:$A$119,0))&amp;CHAR(10)&amp;"【参考对象】"&amp;F67&amp;CHAR(10)&amp;"【制作规格】"&amp;I67&amp;"；"&amp;INDEX('素材需求'!$M$8:$M$119,MATCH(B67,'素材需求'!$A$8:$A$119,0))&amp;CHAR(10)&amp;"【颜色】"&amp;'生成规范'!$B$10&amp;"；"&amp;'生成规范'!$B$11&amp;CHAR(10)&amp;"【输出规则】"&amp;'生成规范'!$B$12&amp;" 后处理对齐尺寸与轴点；交付用途："&amp;H67&amp;CHAR(10)&amp;"【禁止项】"&amp;'生成规范'!$B$9&amp;"；"&amp;INDEX('素材需求'!$N$8:$N$119,MATCH(B67,'素材需求'!$A$8:$A$119,0))</x:f>
        <x:v>【交付文件】nm_v2_role_technical_parts_shoulder_far.png
【本张任务】技术员远肩层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【单张范围】只画本张：技术员的远侧短肩片/袖根外观叠层，与近肩同材质但遮挡轮廓略窄；无躯干或整臂；本张仅这一独立交付单元，不含其他零件、对照姿势、sheet、文字、背景或地面投影。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金属灰工作背心、冷青小口袋、腰部扁平工具收纳轮廓，现代整洁；只交躯干与近/远肩3件，手脚/发型/身体骨架共用。装备A01—A05的已装备躯干/肩片优先显示，职业不得与装备双重套壳。
【参考对象】现代维护技术员的灰蓝短工装、并入躯干的扁平工具袋和小块冷青识别；与新版员工基型同肩宽、同腰线，六发型和手脚直接共用。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67" s="38" t="str">
        <x:v>只画本张：技术员的远侧短肩片/袖根外观叠层，与近肩同材质但遮挡轮廓略窄；无躯干或整臂；本张仅这一独立交付单元，不含其他零件、对照姿势、sheet、文字、背景或地面投影。</x:v>
      </x:c>
      <x:c r="F67" s="38" t="str">
        <x:f>INDEX('素材需求'!$G$8:$G$119,MATCH(B67,'素材需求'!$A$8:$A$119,0))</x:f>
        <x:v>现代维护技术员的灰蓝短工装、并入躯干的扁平工具袋和小块冷青识别；与新版员工基型同肩宽、同腰线，六发型和手脚直接共用。</x:v>
      </x:c>
      <x:c r="G67" s="38" t="str">
        <x:f>INDEX('素材需求'!$B$8:$B$119,MATCH(B67,'素材需求'!$A$8:$A$119,0))</x:f>
        <x:v>P0常态</x:v>
      </x:c>
      <x:c r="H67" s="38" t="str">
        <x:v>游戏拆件／贴图</x:v>
      </x:c>
      <x:c r="I6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67" s="38" t="str">
        <x:v>art_delivery/nm_v2/characters/</x:v>
      </x:c>
      <x:c r="K67" s="45" t="str">
        <x:v>待生成</x:v>
      </x:c>
      <x:c r="L67" s="38" t="str">
        <x:v>shoulder_far</x:v>
      </x:c>
    </x:row>
    <x:row r="68" ht="314.25" customHeight="1">
      <x:c r="A68" s="37" t="str">
        <x:f>INDEX('素材需求'!$D$8:$D$119,MATCH(B68,'素材需求'!$A$8:$A$119,0))&amp;IF(L68="","","_"&amp;L68)&amp;".png"</x:f>
        <x:v>nm_v2_role_medical_parts_torso.png</x:v>
      </x:c>
      <x:c r="B68" s="37" t="str">
        <x:v>NMV2_ROLE_005</x:v>
      </x:c>
      <x:c r="C68" s="37" t="str">
        <x:v>医疗员躯干层</x:v>
      </x:c>
      <x:c r="D68" s="37" t="str">
        <x:f>"【交付文件】"&amp;A68&amp;CHAR(10)&amp;"【本张任务】"&amp;C68&amp;CHAR(10)&amp;'生成规范'!$B$8&amp;CHAR(10)&amp;"【单张范围】"&amp;E68&amp;CHAR(10)&amp;"【本组造型约束】"&amp;INDEX('素材需求'!$F$8:$F$119,MATCH(B68,'素材需求'!$A$8:$A$119,0))&amp;CHAR(10)&amp;"【参考对象】"&amp;F68&amp;CHAR(10)&amp;"【制作规格】"&amp;I68&amp;"；"&amp;INDEX('素材需求'!$M$8:$M$119,MATCH(B68,'素材需求'!$A$8:$A$119,0))&amp;CHAR(10)&amp;"【颜色】"&amp;'生成规范'!$B$10&amp;"；"&amp;'生成规范'!$B$11&amp;CHAR(10)&amp;"【输出规则】"&amp;'生成规范'!$B$12&amp;" 后处理对齐尺寸与轴点；交付用途："&amp;H68&amp;CHAR(10)&amp;"【禁止项】"&amp;'生成规范'!$B$9&amp;"；"&amp;INDEX('素材需求'!$N$8:$N$119,MATCH(B68,'素材需求'!$A$8:$A$119,0))</x:f>
        <x:v>【交付文件】nm_v2_role_medical_parts_torso.png
【本张任务】医疗员躯干层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医疗员的冷白与浅蓝短制服、圆角浅蓝支援识别块，舒适友好，不是治疗装置躯干外观叠层，领口/腰部识别细节并入躯干；仅肩根余量，无头、完整袖子或四肢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冷白与浅蓝短制服、圆角浅蓝支援识别块，舒适友好，不是治疗装置；只交躯干与近/远肩3件，手脚/发型/身体骨架共用。装备A01—A05的已装备躯干/肩片优先显示，职业不得与装备双重套壳。
【参考对象】现代医疗支援人员的舒适白蓝短制服与圆角识别块，无治疗器械或功能特效；与新版员工基型同肩宽、同腰线，六发型和手脚直接共用。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68" s="37" t="str">
        <x:v>只画本张：医疗员的冷白与浅蓝短制服、圆角浅蓝支援识别块，舒适友好，不是治疗装置躯干外观叠层，领口/腰部识别细节并入躯干；仅肩根余量，无头、完整袖子或四肢；本张仅这一独立交付单元，不含其他零件、对照姿势、sheet、文字、背景或地面投影。</x:v>
      </x:c>
      <x:c r="F68" s="37" t="str">
        <x:f>INDEX('素材需求'!$G$8:$G$119,MATCH(B68,'素材需求'!$A$8:$A$119,0))</x:f>
        <x:v>现代医疗支援人员的舒适白蓝短制服与圆角识别块，无治疗器械或功能特效；与新版员工基型同肩宽、同腰线，六发型和手脚直接共用。</x:v>
      </x:c>
      <x:c r="G68" s="37" t="str">
        <x:f>INDEX('素材需求'!$B$8:$B$119,MATCH(B68,'素材需求'!$A$8:$A$119,0))</x:f>
        <x:v>P0常态</x:v>
      </x:c>
      <x:c r="H68" s="37" t="str">
        <x:v>游戏拆件／贴图</x:v>
      </x:c>
      <x:c r="I6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68" s="37" t="str">
        <x:v>art_delivery/nm_v2/characters/</x:v>
      </x:c>
      <x:c r="K68" s="45" t="str">
        <x:v>待生成</x:v>
      </x:c>
      <x:c r="L68" s="37" t="str">
        <x:v>torso</x:v>
      </x:c>
    </x:row>
    <x:row r="69" ht="300" customHeight="1">
      <x:c r="A69" s="38" t="str">
        <x:f>INDEX('素材需求'!$D$8:$D$119,MATCH(B69,'素材需求'!$A$8:$A$119,0))&amp;IF(L69="","","_"&amp;L69)&amp;".png"</x:f>
        <x:v>nm_v2_role_medical_parts_shoulder_near.png</x:v>
      </x:c>
      <x:c r="B69" s="38" t="str">
        <x:v>NMV2_ROLE_005</x:v>
      </x:c>
      <x:c r="C69" s="38" t="str">
        <x:v>医疗员近肩层</x:v>
      </x:c>
      <x:c r="D69" s="38" t="str">
        <x:f>"【交付文件】"&amp;A69&amp;CHAR(10)&amp;"【本张任务】"&amp;C69&amp;CHAR(10)&amp;'生成规范'!$B$8&amp;CHAR(10)&amp;"【单张范围】"&amp;E69&amp;CHAR(10)&amp;"【本组造型约束】"&amp;INDEX('素材需求'!$F$8:$F$119,MATCH(B69,'素材需求'!$A$8:$A$119,0))&amp;CHAR(10)&amp;"【参考对象】"&amp;F69&amp;CHAR(10)&amp;"【制作规格】"&amp;I69&amp;"；"&amp;INDEX('素材需求'!$M$8:$M$119,MATCH(B69,'素材需求'!$A$8:$A$119,0))&amp;CHAR(10)&amp;"【颜色】"&amp;'生成规范'!$B$10&amp;"；"&amp;'生成规范'!$B$11&amp;CHAR(10)&amp;"【输出规则】"&amp;'生成规范'!$B$12&amp;" 后处理对齐尺寸与轴点；交付用途："&amp;H69&amp;CHAR(10)&amp;"【禁止项】"&amp;'生成规范'!$B$9&amp;"；"&amp;INDEX('素材需求'!$N$8:$N$119,MATCH(B69,'素材需求'!$A$8:$A$119,0))</x:f>
        <x:v>【交付文件】nm_v2_role_medical_parts_shoulder_near.png
【本张任务】医疗员近肩层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【单张范围】只画本张：医疗员的近侧短肩片/袖根外观叠层，沿用共用肩宽，冷色块克制；无躯干或整臂；本张仅这一独立交付单元，不含其他零件、对照姿势、sheet、文字、背景或地面投影。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冷白与浅蓝短制服、圆角浅蓝支援识别块，舒适友好，不是治疗装置；只交躯干与近/远肩3件，手脚/发型/身体骨架共用。装备A01—A05的已装备躯干/肩片优先显示，职业不得与装备双重套壳。
【参考对象】现代医疗支援人员的舒适白蓝短制服与圆角识别块，无治疗器械或功能特效；与新版员工基型同肩宽、同腰线，六发型和手脚直接共用。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69" s="38" t="str">
        <x:v>只画本张：医疗员的近侧短肩片/袖根外观叠层，沿用共用肩宽，冷色块克制；无躯干或整臂；本张仅这一独立交付单元，不含其他零件、对照姿势、sheet、文字、背景或地面投影。</x:v>
      </x:c>
      <x:c r="F69" s="38" t="str">
        <x:f>INDEX('素材需求'!$G$8:$G$119,MATCH(B69,'素材需求'!$A$8:$A$119,0))</x:f>
        <x:v>现代医疗支援人员的舒适白蓝短制服与圆角识别块，无治疗器械或功能特效；与新版员工基型同肩宽、同腰线，六发型和手脚直接共用。</x:v>
      </x:c>
      <x:c r="G69" s="38" t="str">
        <x:f>INDEX('素材需求'!$B$8:$B$119,MATCH(B69,'素材需求'!$A$8:$A$119,0))</x:f>
        <x:v>P0常态</x:v>
      </x:c>
      <x:c r="H69" s="38" t="str">
        <x:v>游戏拆件／贴图</x:v>
      </x:c>
      <x:c r="I6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69" s="38" t="str">
        <x:v>art_delivery/nm_v2/characters/</x:v>
      </x:c>
      <x:c r="K69" s="45" t="str">
        <x:v>待生成</x:v>
      </x:c>
      <x:c r="L69" s="38" t="str">
        <x:v>shoulder_near</x:v>
      </x:c>
    </x:row>
    <x:row r="70" ht="314.25" customHeight="1">
      <x:c r="A70" s="37" t="str">
        <x:f>INDEX('素材需求'!$D$8:$D$119,MATCH(B70,'素材需求'!$A$8:$A$119,0))&amp;IF(L70="","","_"&amp;L70)&amp;".png"</x:f>
        <x:v>nm_v2_role_medical_parts_shoulder_far.png</x:v>
      </x:c>
      <x:c r="B70" s="37" t="str">
        <x:v>NMV2_ROLE_005</x:v>
      </x:c>
      <x:c r="C70" s="37" t="str">
        <x:v>医疗员远肩层</x:v>
      </x:c>
      <x:c r="D70" s="37" t="str">
        <x:f>"【交付文件】"&amp;A70&amp;CHAR(10)&amp;"【本张任务】"&amp;C70&amp;CHAR(10)&amp;'生成规范'!$B$8&amp;CHAR(10)&amp;"【单张范围】"&amp;E70&amp;CHAR(10)&amp;"【本组造型约束】"&amp;INDEX('素材需求'!$F$8:$F$119,MATCH(B70,'素材需求'!$A$8:$A$119,0))&amp;CHAR(10)&amp;"【参考对象】"&amp;F70&amp;CHAR(10)&amp;"【制作规格】"&amp;I70&amp;"；"&amp;INDEX('素材需求'!$M$8:$M$119,MATCH(B70,'素材需求'!$A$8:$A$119,0))&amp;CHAR(10)&amp;"【颜色】"&amp;'生成规范'!$B$10&amp;"；"&amp;'生成规范'!$B$11&amp;CHAR(10)&amp;"【输出规则】"&amp;'生成规范'!$B$12&amp;" 后处理对齐尺寸与轴点；交付用途："&amp;H70&amp;CHAR(10)&amp;"【禁止项】"&amp;'生成规范'!$B$9&amp;"；"&amp;INDEX('素材需求'!$N$8:$N$119,MATCH(B70,'素材需求'!$A$8:$A$119,0))</x:f>
        <x:v>【交付文件】nm_v2_role_medical_parts_shoulder_far.png
【本张任务】医疗员远肩层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【单张范围】只画本张：医疗员的远侧短肩片/袖根外观叠层，与近肩同材质但遮挡轮廓略窄；无躯干或整臂；本张仅这一独立交付单元，不含其他零件、对照姿势、sheet、文字、背景或地面投影。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冷白与浅蓝短制服、圆角浅蓝支援识别块，舒适友好，不是治疗装置；只交躯干与近/远肩3件，手脚/发型/身体骨架共用。装备A01—A05的已装备躯干/肩片优先显示，职业不得与装备双重套壳。
【参考对象】现代医疗支援人员的舒适白蓝短制服与圆角识别块，无治疗器械或功能特效；与新版员工基型同肩宽、同腰线，六发型和手脚直接共用。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70" s="37" t="str">
        <x:v>只画本张：医疗员的远侧短肩片/袖根外观叠层，与近肩同材质但遮挡轮廓略窄；无躯干或整臂；本张仅这一独立交付单元，不含其他零件、对照姿势、sheet、文字、背景或地面投影。</x:v>
      </x:c>
      <x:c r="F70" s="37" t="str">
        <x:f>INDEX('素材需求'!$G$8:$G$119,MATCH(B70,'素材需求'!$A$8:$A$119,0))</x:f>
        <x:v>现代医疗支援人员的舒适白蓝短制服与圆角识别块，无治疗器械或功能特效；与新版员工基型同肩宽、同腰线，六发型和手脚直接共用。</x:v>
      </x:c>
      <x:c r="G70" s="37" t="str">
        <x:f>INDEX('素材需求'!$B$8:$B$119,MATCH(B70,'素材需求'!$A$8:$A$119,0))</x:f>
        <x:v>P0常态</x:v>
      </x:c>
      <x:c r="H70" s="37" t="str">
        <x:v>游戏拆件／贴图</x:v>
      </x:c>
      <x:c r="I7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70" s="37" t="str">
        <x:v>art_delivery/nm_v2/characters/</x:v>
      </x:c>
      <x:c r="K70" s="45" t="str">
        <x:v>待生成</x:v>
      </x:c>
      <x:c r="L70" s="37" t="str">
        <x:v>shoulder_far</x:v>
      </x:c>
    </x:row>
    <x:row r="71" ht="300" customHeight="1">
      <x:c r="A71" s="38" t="str">
        <x:f>INDEX('素材需求'!$D$8:$D$119,MATCH(B71,'素材需求'!$A$8:$A$119,0))&amp;IF(L71="","","_"&amp;L71)&amp;".png"</x:f>
        <x:v>nm_v2_abn_nailong_calm_identity_approved.png</x:v>
      </x:c>
      <x:c r="B71" s="38" t="str">
        <x:v>NMV2_ABN_N01_01</x:v>
      </x:c>
      <x:c r="C71" s="38" t="str">
        <x:v>常态完整形象</x:v>
      </x:c>
      <x:c r="D71" s="38" t="str">
        <x:f>"【交付文件】"&amp;A71&amp;CHAR(10)&amp;"【本张任务】"&amp;C71&amp;CHAR(10)&amp;'生成规范'!$B$8&amp;CHAR(10)&amp;"【单张范围】"&amp;E71&amp;CHAR(10)&amp;"【本组造型约束】"&amp;INDEX('素材需求'!$F$8:$F$119,MATCH(B71,'素材需求'!$A$8:$A$119,0))&amp;CHAR(10)&amp;"【参考对象】"&amp;F71&amp;CHAR(10)&amp;"【制作规格】"&amp;I71&amp;"；"&amp;INDEX('素材需求'!$M$8:$M$119,MATCH(B71,'素材需求'!$A$8:$A$119,0))&amp;CHAR(10)&amp;"【颜色】"&amp;'生成规范'!$B$10&amp;"；"&amp;'生成规范'!$B$11&amp;CHAR(10)&amp;"【输出规则】"&amp;'生成规范'!$B$12&amp;" 后处理对齐尺寸与轴点；交付用途："&amp;H71&amp;CHAR(10)&amp;"【禁止项】"&amp;'生成规范'!$B$9&amp;"；"&amp;INDEX('素材需求'!$N$8:$N$119,MATCH(B71,'素材需求'!$A$8:$A$119,0))</x:f>
        <x:v>【交付文件】nm_v2_abn_nailong_calm_identity_approved.png
【本张任务】常态完整形象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的奶龙常态形象，朝右自然待机；暖黄圆润短胖身体、奶白腹部、短手短脚、柔软小尾巴、圆眼与轻松小嘴；像低龄内容里的软玩偶，但有清楚的手足和足底，不是只画一个圆团。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常态不绘失效气泡、花屏或警报。
【参考对象】圆润暖黄软胶玩偶与低龄动画吉祥物；奶白肚皮、短肢、圆眼、柔软尾巴，参考现代儿童内容的干净平面形状，避免恐怖版恐龙。 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71" s="38" t="str">
        <x:v>只画本张：一只完整的奶龙常态形象，朝右自然待机；暖黄圆润短胖身体、奶白腹部、短手短脚、柔软小尾巴、圆眼与轻松小嘴；像低龄内容里的软玩偶，但有清楚的手足和足底，不是只画一个圆团。；单一交付对象/姿势，不含其他零件、对照姿势、sheet、文字、背景或地面投影。</x:v>
      </x:c>
      <x:c r="F71" s="38" t="str">
        <x:f>INDEX('素材需求'!$G$8:$G$119,MATCH(B71,'素材需求'!$A$8:$A$119,0))</x:f>
        <x:v>圆润暖黄软胶玩偶与低龄动画吉祥物；奶白肚皮、短肢、圆眼、柔软尾巴，参考现代儿童内容的干净平面形状，避免恐怖版恐龙。 </x:v>
      </x:c>
      <x:c r="G71" s="38" t="str">
        <x:f>INDEX('素材需求'!$B$8:$B$119,MATCH(B71,'素材需求'!$A$8:$A$119,0))</x:f>
        <x:v>P0常态</x:v>
      </x:c>
      <x:c r="H71" s="38" t="str">
        <x:v>定稿／动作参考</x:v>
      </x:c>
      <x:c r="I7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71" s="38" t="str">
        <x:v>art_delivery/nm_v2/references/</x:v>
      </x:c>
      <x:c r="K71" s="45" t="str">
        <x:v>待生成</x:v>
      </x:c>
      <x:c r="L71" s="38" t="str">
        <x:v>approved</x:v>
      </x:c>
    </x:row>
    <x:row r="72" ht="300" customHeight="1">
      <x:c r="A72" s="37" t="str">
        <x:f>INDEX('素材需求'!$D$8:$D$119,MATCH(B72,'素材需求'!$A$8:$A$119,0))&amp;IF(L72="","","_"&amp;L72)&amp;".png"</x:f>
        <x:v>nm_v2_abn_nailong_base_parts_body.png</x:v>
      </x:c>
      <x:c r="B72" s="37" t="str">
        <x:v>NMV2_ABN_N01_02</x:v>
      </x:c>
      <x:c r="C72" s="37" t="str">
        <x:v>身体与奶白腹部</x:v>
      </x:c>
      <x:c r="D72" s="37" t="str">
        <x:f>"【交付文件】"&amp;A72&amp;CHAR(10)&amp;"【本张任务】"&amp;C72&amp;CHAR(10)&amp;'生成规范'!$B$8&amp;CHAR(10)&amp;"【单张范围】"&amp;E72&amp;CHAR(10)&amp;"【本组造型约束】"&amp;INDEX('素材需求'!$F$8:$F$119,MATCH(B72,'素材需求'!$A$8:$A$119,0))&amp;CHAR(10)&amp;"【参考对象】"&amp;F72&amp;CHAR(10)&amp;"【制作规格】"&amp;I72&amp;"；"&amp;INDEX('素材需求'!$M$8:$M$119,MATCH(B72,'素材需求'!$A$8:$A$119,0))&amp;CHAR(10)&amp;"【颜色】"&amp;'生成规范'!$B$10&amp;"；"&amp;'生成规范'!$B$11&amp;CHAR(10)&amp;"【输出规则】"&amp;'生成规范'!$B$12&amp;" 后处理对齐尺寸与轴点；交付用途："&amp;H72&amp;CHAR(10)&amp;"【禁止项】"&amp;'生成规范'!$B$9&amp;"；"&amp;INDEX('素材需求'!$N$8:$N$119,MATCH(B72,'素材需求'!$A$8:$A$119,0))</x:f>
        <x:v>【交付文件】nm_v2_abn_nailong_base_parts_body.png
【本张任务】身体与奶白腹部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【单张范围】只画本张：暖黄圆润躯干及奶白腹色，保留短肩根和颈根接合余量，不含头、手臂、脚或尾巴；单一交付对象/姿势，不含其他零件、对照姿势、sheet、文字、背景或地面投影。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旧ABN_N01_04的长颈、裂口、空眼替换为同体型常态9件加污染面部2件；保留短肢可动骨架。主形和分身只复用同一资源，定稿不得直接代替活动实体。 每张只画units当前部件，头部/脸层分离，不能把组内完整角色或其他部件带入本张。
【参考对象】圆润暖黄软胶玩偶与低龄动画吉祥物；奶白肚皮、短肢、圆眼、柔软尾巴，参考现代儿童内容的干净平面形状，避免恐怖版恐龙。 以NMV2_ABN_N01_01的新常态定稿核对轮廓与配色。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72" s="37" t="str">
        <x:v>只画本张：暖黄圆润躯干及奶白腹色，保留短肩根和颈根接合余量，不含头、手臂、脚或尾巴；单一交付对象/姿势，不含其他零件、对照姿势、sheet、文字、背景或地面投影。</x:v>
      </x:c>
      <x:c r="F72" s="37" t="str">
        <x:f>INDEX('素材需求'!$G$8:$G$119,MATCH(B72,'素材需求'!$A$8:$A$119,0))</x:f>
        <x:v>圆润暖黄软胶玩偶与低龄动画吉祥物；奶白肚皮、短肢、圆眼、柔软尾巴，参考现代儿童内容的干净平面形状，避免恐怖版恐龙。 以NMV2_ABN_N01_01的新常态定稿核对轮廓与配色。</x:v>
      </x:c>
      <x:c r="G72" s="37" t="str">
        <x:f>INDEX('素材需求'!$B$8:$B$119,MATCH(B72,'素材需求'!$A$8:$A$119,0))</x:f>
        <x:v>P0常态</x:v>
      </x:c>
      <x:c r="H72" s="37" t="str">
        <x:v>游戏拆件／贴图</x:v>
      </x:c>
      <x:c r="I7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72" s="37" t="str">
        <x:v>art_delivery/nm_v2/abnormalities/</x:v>
      </x:c>
      <x:c r="K72" s="45" t="str">
        <x:v>待生成</x:v>
      </x:c>
      <x:c r="L72" s="37" t="str">
        <x:v>body</x:v>
      </x:c>
    </x:row>
    <x:row r="73" ht="300" customHeight="1">
      <x:c r="A73" s="38" t="str">
        <x:f>INDEX('素材需求'!$D$8:$D$119,MATCH(B73,'素材需求'!$A$8:$A$119,0))&amp;IF(L73="","","_"&amp;L73)&amp;".png"</x:f>
        <x:v>nm_v2_abn_nailong_base_parts_head_neck.png</x:v>
      </x:c>
      <x:c r="B73" s="38" t="str">
        <x:v>NMV2_ABN_N01_02</x:v>
      </x:c>
      <x:c r="C73" s="38" t="str">
        <x:v>头颈基础</x:v>
      </x:c>
      <x:c r="D73" s="38" t="str">
        <x:f>"【交付文件】"&amp;A73&amp;CHAR(10)&amp;"【本张任务】"&amp;C73&amp;CHAR(10)&amp;'生成规范'!$B$8&amp;CHAR(10)&amp;"【单张范围】"&amp;E73&amp;CHAR(10)&amp;"【本组造型约束】"&amp;INDEX('素材需求'!$F$8:$F$119,MATCH(B73,'素材需求'!$A$8:$A$119,0))&amp;CHAR(10)&amp;"【参考对象】"&amp;F73&amp;CHAR(10)&amp;"【制作规格】"&amp;I73&amp;"；"&amp;INDEX('素材需求'!$M$8:$M$119,MATCH(B73,'素材需求'!$A$8:$A$119,0))&amp;CHAR(10)&amp;"【颜色】"&amp;'生成规范'!$B$10&amp;"；"&amp;'生成规范'!$B$11&amp;CHAR(10)&amp;"【输出规则】"&amp;'生成规范'!$B$12&amp;" 后处理对齐尺寸与轴点；交付用途："&amp;H73&amp;CHAR(10)&amp;"【禁止项】"&amp;'生成规范'!$B$9&amp;"；"&amp;INDEX('素材需求'!$N$8:$N$119,MATCH(B73,'素材需求'!$A$8:$A$119,0))</x:f>
        <x:v>【交付文件】nm_v2_abn_nailong_base_parts_head_neck.png
【本张任务】头颈基础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【单张范围】只画本张：短圆头与短颈一体，仅头部底色与轮廓，无眼、嘴、身体；单一交付对象/姿势，不含其他零件、对照姿势、sheet、文字、背景或地面投影。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旧ABN_N01_04的长颈、裂口、空眼替换为同体型常态9件加污染面部2件；保留短肢可动骨架。主形和分身只复用同一资源，定稿不得直接代替活动实体。 每张只画units当前部件，头部/脸层分离，不能把组内完整角色或其他部件带入本张。
【参考对象】圆润暖黄软胶玩偶与低龄动画吉祥物；奶白肚皮、短肢、圆眼、柔软尾巴，参考现代儿童内容的干净平面形状，避免恐怖版恐龙。 以NMV2_ABN_N01_01的新常态定稿核对轮廓与配色。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73" s="38" t="str">
        <x:v>只画本张：短圆头与短颈一体，仅头部底色与轮廓，无眼、嘴、身体；单一交付对象/姿势，不含其他零件、对照姿势、sheet、文字、背景或地面投影。</x:v>
      </x:c>
      <x:c r="F73" s="38" t="str">
        <x:f>INDEX('素材需求'!$G$8:$G$119,MATCH(B73,'素材需求'!$A$8:$A$119,0))</x:f>
        <x:v>圆润暖黄软胶玩偶与低龄动画吉祥物；奶白肚皮、短肢、圆眼、柔软尾巴，参考现代儿童内容的干净平面形状，避免恐怖版恐龙。 以NMV2_ABN_N01_01的新常态定稿核对轮廓与配色。</x:v>
      </x:c>
      <x:c r="G73" s="38" t="str">
        <x:f>INDEX('素材需求'!$B$8:$B$119,MATCH(B73,'素材需求'!$A$8:$A$119,0))</x:f>
        <x:v>P0常态</x:v>
      </x:c>
      <x:c r="H73" s="38" t="str">
        <x:v>游戏拆件／贴图</x:v>
      </x:c>
      <x:c r="I7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73" s="38" t="str">
        <x:v>art_delivery/nm_v2/abnormalities/</x:v>
      </x:c>
      <x:c r="K73" s="45" t="str">
        <x:v>待生成</x:v>
      </x:c>
      <x:c r="L73" s="38" t="str">
        <x:v>head_neck</x:v>
      </x:c>
    </x:row>
    <x:row r="74" ht="300" customHeight="1">
      <x:c r="A74" s="37" t="str">
        <x:f>INDEX('素材需求'!$D$8:$D$119,MATCH(B74,'素材需求'!$A$8:$A$119,0))&amp;IF(L74="","","_"&amp;L74)&amp;".png"</x:f>
        <x:v>nm_v2_abn_nailong_base_parts_muzzle.png</x:v>
      </x:c>
      <x:c r="B74" s="37" t="str">
        <x:v>NMV2_ABN_N01_02</x:v>
      </x:c>
      <x:c r="C74" s="37" t="str">
        <x:v>常态口鼻层</x:v>
      </x:c>
      <x:c r="D74" s="37" t="str">
        <x:f>"【交付文件】"&amp;A74&amp;CHAR(10)&amp;"【本张任务】"&amp;C74&amp;CHAR(10)&amp;'生成规范'!$B$8&amp;CHAR(10)&amp;"【单张范围】"&amp;E74&amp;CHAR(10)&amp;"【本组造型约束】"&amp;INDEX('素材需求'!$F$8:$F$119,MATCH(B74,'素材需求'!$A$8:$A$119,0))&amp;CHAR(10)&amp;"【参考对象】"&amp;F74&amp;CHAR(10)&amp;"【制作规格】"&amp;I74&amp;"；"&amp;INDEX('素材需求'!$M$8:$M$119,MATCH(B74,'素材需求'!$A$8:$A$119,0))&amp;CHAR(10)&amp;"【颜色】"&amp;'生成规范'!$B$10&amp;"；"&amp;'生成规范'!$B$11&amp;CHAR(10)&amp;"【输出规则】"&amp;'生成规范'!$B$12&amp;" 后处理对齐尺寸与轴点；交付用途："&amp;H74&amp;CHAR(10)&amp;"【禁止项】"&amp;'生成规范'!$B$9&amp;"；"&amp;INDEX('素材需求'!$N$8:$N$119,MATCH(B74,'素材需求'!$A$8:$A$119,0))</x:f>
        <x:v>【交付文件】nm_v2_abn_nailong_base_parts_muzzle.png
【本张任务】常态口鼻层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【单张范围】只画本张：正常尺寸圆润小口鼻与轻松闭嘴线，透明外部，无眼、完整头或裂口；单一交付对象/姿势，不含其他零件、对照姿势、sheet、文字、背景或地面投影。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旧ABN_N01_04的长颈、裂口、空眼替换为同体型常态9件加污染面部2件；保留短肢可动骨架。主形和分身只复用同一资源，定稿不得直接代替活动实体。 每张只画units当前部件，头部/脸层分离，不能把组内完整角色或其他部件带入本张。
【参考对象】圆润暖黄软胶玩偶与低龄动画吉祥物；奶白肚皮、短肢、圆眼、柔软尾巴，参考现代儿童内容的干净平面形状，避免恐怖版恐龙。 以NMV2_ABN_N01_01的新常态定稿核对轮廓与配色。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74" s="37" t="str">
        <x:v>只画本张：正常尺寸圆润小口鼻与轻松闭嘴线，透明外部，无眼、完整头或裂口；单一交付对象/姿势，不含其他零件、对照姿势、sheet、文字、背景或地面投影。</x:v>
      </x:c>
      <x:c r="F74" s="37" t="str">
        <x:f>INDEX('素材需求'!$G$8:$G$119,MATCH(B74,'素材需求'!$A$8:$A$119,0))</x:f>
        <x:v>圆润暖黄软胶玩偶与低龄动画吉祥物；奶白肚皮、短肢、圆眼、柔软尾巴，参考现代儿童内容的干净平面形状，避免恐怖版恐龙。 以NMV2_ABN_N01_01的新常态定稿核对轮廓与配色。</x:v>
      </x:c>
      <x:c r="G74" s="37" t="str">
        <x:f>INDEX('素材需求'!$B$8:$B$119,MATCH(B74,'素材需求'!$A$8:$A$119,0))</x:f>
        <x:v>P0常态</x:v>
      </x:c>
      <x:c r="H74" s="37" t="str">
        <x:v>游戏拆件／贴图</x:v>
      </x:c>
      <x:c r="I7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74" s="37" t="str">
        <x:v>art_delivery/nm_v2/abnormalities/</x:v>
      </x:c>
      <x:c r="K74" s="45" t="str">
        <x:v>待生成</x:v>
      </x:c>
      <x:c r="L74" s="37" t="str">
        <x:v>muzzle</x:v>
      </x:c>
    </x:row>
    <x:row r="75" ht="300" customHeight="1">
      <x:c r="A75" s="38" t="str">
        <x:f>INDEX('素材需求'!$D$8:$D$119,MATCH(B75,'素材需求'!$A$8:$A$119,0))&amp;IF(L75="","","_"&amp;L75)&amp;".png"</x:f>
        <x:v>nm_v2_abn_nailong_base_parts_eyes.png</x:v>
      </x:c>
      <x:c r="B75" s="38" t="str">
        <x:v>NMV2_ABN_N01_02</x:v>
      </x:c>
      <x:c r="C75" s="38" t="str">
        <x:v>常态双眼层</x:v>
      </x:c>
      <x:c r="D75" s="38" t="str">
        <x:f>"【交付文件】"&amp;A75&amp;CHAR(10)&amp;"【本张任务】"&amp;C75&amp;CHAR(10)&amp;'生成规范'!$B$8&amp;CHAR(10)&amp;"【单张范围】"&amp;E75&amp;CHAR(10)&amp;"【本组造型约束】"&amp;INDEX('素材需求'!$F$8:$F$119,MATCH(B75,'素材需求'!$A$8:$A$119,0))&amp;CHAR(10)&amp;"【参考对象】"&amp;F75&amp;CHAR(10)&amp;"【制作规格】"&amp;I75&amp;"；"&amp;INDEX('素材需求'!$M$8:$M$119,MATCH(B75,'素材需求'!$A$8:$A$119,0))&amp;CHAR(10)&amp;"【颜色】"&amp;'生成规范'!$B$10&amp;"；"&amp;'生成规范'!$B$11&amp;CHAR(10)&amp;"【输出规则】"&amp;'生成规范'!$B$12&amp;" 后处理对齐尺寸与轴点；交付用途："&amp;H75&amp;CHAR(10)&amp;"【禁止项】"&amp;'生成规范'!$B$9&amp;"；"&amp;INDEX('素材需求'!$N$8:$N$119,MATCH(B75,'素材需求'!$A$8:$A$119,0))</x:f>
        <x:v>【交付文件】nm_v2_abn_nailong_base_parts_eyes.png
【本张任务】常态双眼层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【单张范围】只画本张：一对正常圆眼和克制眉线作为单个面部覆盖层，透明底，无头部底色或嘴；单一交付对象/姿势，不含其他零件、对照姿势、sheet、文字、背景或地面投影。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旧ABN_N01_04的长颈、裂口、空眼替换为同体型常态9件加污染面部2件；保留短肢可动骨架。主形和分身只复用同一资源，定稿不得直接代替活动实体。 每张只画units当前部件，头部/脸层分离，不能把组内完整角色或其他部件带入本张。
【参考对象】圆润暖黄软胶玩偶与低龄动画吉祥物；奶白肚皮、短肢、圆眼、柔软尾巴，参考现代儿童内容的干净平面形状，避免恐怖版恐龙。 以NMV2_ABN_N01_01的新常态定稿核对轮廓与配色。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75" s="38" t="str">
        <x:v>只画本张：一对正常圆眼和克制眉线作为单个面部覆盖层，透明底，无头部底色或嘴；单一交付对象/姿势，不含其他零件、对照姿势、sheet、文字、背景或地面投影。</x:v>
      </x:c>
      <x:c r="F75" s="38" t="str">
        <x:f>INDEX('素材需求'!$G$8:$G$119,MATCH(B75,'素材需求'!$A$8:$A$119,0))</x:f>
        <x:v>圆润暖黄软胶玩偶与低龄动画吉祥物；奶白肚皮、短肢、圆眼、柔软尾巴，参考现代儿童内容的干净平面形状，避免恐怖版恐龙。 以NMV2_ABN_N01_01的新常态定稿核对轮廓与配色。</x:v>
      </x:c>
      <x:c r="G75" s="38" t="str">
        <x:f>INDEX('素材需求'!$B$8:$B$119,MATCH(B75,'素材需求'!$A$8:$A$119,0))</x:f>
        <x:v>P0常态</x:v>
      </x:c>
      <x:c r="H75" s="38" t="str">
        <x:v>游戏拆件／贴图</x:v>
      </x:c>
      <x:c r="I7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75" s="38" t="str">
        <x:v>art_delivery/nm_v2/abnormalities/</x:v>
      </x:c>
      <x:c r="K75" s="45" t="str">
        <x:v>待生成</x:v>
      </x:c>
      <x:c r="L75" s="38" t="str">
        <x:v>eyes</x:v>
      </x:c>
    </x:row>
    <x:row r="76" ht="300" customHeight="1">
      <x:c r="A76" s="37" t="str">
        <x:f>INDEX('素材需求'!$D$8:$D$119,MATCH(B76,'素材需求'!$A$8:$A$119,0))&amp;IF(L76="","","_"&amp;L76)&amp;".png"</x:f>
        <x:v>nm_v2_abn_nailong_base_parts_arm_left.png</x:v>
      </x:c>
      <x:c r="B76" s="37" t="str">
        <x:v>NMV2_ABN_N01_02</x:v>
      </x:c>
      <x:c r="C76" s="37" t="str">
        <x:v>远侧短手臂</x:v>
      </x:c>
      <x:c r="D76" s="37" t="str">
        <x:f>"【交付文件】"&amp;A76&amp;CHAR(10)&amp;"【本张任务】"&amp;C76&amp;CHAR(10)&amp;'生成规范'!$B$8&amp;CHAR(10)&amp;"【单张范围】"&amp;E76&amp;CHAR(10)&amp;"【本组造型约束】"&amp;INDEX('素材需求'!$F$8:$F$119,MATCH(B76,'素材需求'!$A$8:$A$119,0))&amp;CHAR(10)&amp;"【参考对象】"&amp;F76&amp;CHAR(10)&amp;"【制作规格】"&amp;I76&amp;"；"&amp;INDEX('素材需求'!$M$8:$M$119,MATCH(B76,'素材需求'!$A$8:$A$119,0))&amp;CHAR(10)&amp;"【颜色】"&amp;'生成规范'!$B$10&amp;"；"&amp;'生成规范'!$B$11&amp;CHAR(10)&amp;"【输出规则】"&amp;'生成规范'!$B$12&amp;" 后处理对齐尺寸与轴点；交付用途："&amp;H76&amp;CHAR(10)&amp;"【禁止项】"&amp;'生成规范'!$B$9&amp;"；"&amp;INDEX('素材需求'!$N$8:$N$119,MATCH(B76,'素材需求'!$A$8:$A$119,0))</x:f>
        <x:v>【交付文件】nm_v2_abn_nailong_base_parts_arm_left.png
【本张任务】远侧短手臂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【单张范围】只画本张：远侧短胖手臂含简化手掌，肩端有接合余量，不含躯干；单一交付对象/姿势，不含其他零件、对照姿势、sheet、文字、背景或地面投影。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旧ABN_N01_04的长颈、裂口、空眼替换为同体型常态9件加污染面部2件；保留短肢可动骨架。主形和分身只复用同一资源，定稿不得直接代替活动实体。 每张只画units当前部件，头部/脸层分离，不能把组内完整角色或其他部件带入本张。
【参考对象】圆润暖黄软胶玩偶与低龄动画吉祥物；奶白肚皮、短肢、圆眼、柔软尾巴，参考现代儿童内容的干净平面形状，避免恐怖版恐龙。 以NMV2_ABN_N01_01的新常态定稿核对轮廓与配色。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76" s="37" t="str">
        <x:v>只画本张：远侧短胖手臂含简化手掌，肩端有接合余量，不含躯干；单一交付对象/姿势，不含其他零件、对照姿势、sheet、文字、背景或地面投影。</x:v>
      </x:c>
      <x:c r="F76" s="37" t="str">
        <x:f>INDEX('素材需求'!$G$8:$G$119,MATCH(B76,'素材需求'!$A$8:$A$119,0))</x:f>
        <x:v>圆润暖黄软胶玩偶与低龄动画吉祥物；奶白肚皮、短肢、圆眼、柔软尾巴，参考现代儿童内容的干净平面形状，避免恐怖版恐龙。 以NMV2_ABN_N01_01的新常态定稿核对轮廓与配色。</x:v>
      </x:c>
      <x:c r="G76" s="37" t="str">
        <x:f>INDEX('素材需求'!$B$8:$B$119,MATCH(B76,'素材需求'!$A$8:$A$119,0))</x:f>
        <x:v>P0常态</x:v>
      </x:c>
      <x:c r="H76" s="37" t="str">
        <x:v>游戏拆件／贴图</x:v>
      </x:c>
      <x:c r="I7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76" s="37" t="str">
        <x:v>art_delivery/nm_v2/abnormalities/</x:v>
      </x:c>
      <x:c r="K76" s="45" t="str">
        <x:v>待生成</x:v>
      </x:c>
      <x:c r="L76" s="37" t="str">
        <x:v>arm_left</x:v>
      </x:c>
    </x:row>
    <x:row r="77" ht="300" customHeight="1">
      <x:c r="A77" s="38" t="str">
        <x:f>INDEX('素材需求'!$D$8:$D$119,MATCH(B77,'素材需求'!$A$8:$A$119,0))&amp;IF(L77="","","_"&amp;L77)&amp;".png"</x:f>
        <x:v>nm_v2_abn_nailong_base_parts_arm_right.png</x:v>
      </x:c>
      <x:c r="B77" s="38" t="str">
        <x:v>NMV2_ABN_N01_02</x:v>
      </x:c>
      <x:c r="C77" s="38" t="str">
        <x:v>近侧短手臂</x:v>
      </x:c>
      <x:c r="D77" s="38" t="str">
        <x:f>"【交付文件】"&amp;A77&amp;CHAR(10)&amp;"【本张任务】"&amp;C77&amp;CHAR(10)&amp;'生成规范'!$B$8&amp;CHAR(10)&amp;"【单张范围】"&amp;E77&amp;CHAR(10)&amp;"【本组造型约束】"&amp;INDEX('素材需求'!$F$8:$F$119,MATCH(B77,'素材需求'!$A$8:$A$119,0))&amp;CHAR(10)&amp;"【参考对象】"&amp;F77&amp;CHAR(10)&amp;"【制作规格】"&amp;I77&amp;"；"&amp;INDEX('素材需求'!$M$8:$M$119,MATCH(B77,'素材需求'!$A$8:$A$119,0))&amp;CHAR(10)&amp;"【颜色】"&amp;'生成规范'!$B$10&amp;"；"&amp;'生成规范'!$B$11&amp;CHAR(10)&amp;"【输出规则】"&amp;'生成规范'!$B$12&amp;" 后处理对齐尺寸与轴点；交付用途："&amp;H77&amp;CHAR(10)&amp;"【禁止项】"&amp;'生成规范'!$B$9&amp;"；"&amp;INDEX('素材需求'!$N$8:$N$119,MATCH(B77,'素材需求'!$A$8:$A$119,0))</x:f>
        <x:v>【交付文件】nm_v2_abn_nailong_base_parts_arm_right.png
【本张任务】近侧短手臂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【单张范围】只画本张：近侧短胖手臂含简化手掌，肩端有接合余量，不含躯干；单一交付对象/姿势，不含其他零件、对照姿势、sheet、文字、背景或地面投影。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旧ABN_N01_04的长颈、裂口、空眼替换为同体型常态9件加污染面部2件；保留短肢可动骨架。主形和分身只复用同一资源，定稿不得直接代替活动实体。 每张只画units当前部件，头部/脸层分离，不能把组内完整角色或其他部件带入本张。
【参考对象】圆润暖黄软胶玩偶与低龄动画吉祥物；奶白肚皮、短肢、圆眼、柔软尾巴，参考现代儿童内容的干净平面形状，避免恐怖版恐龙。 以NMV2_ABN_N01_01的新常态定稿核对轮廓与配色。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77" s="38" t="str">
        <x:v>只画本张：近侧短胖手臂含简化手掌，肩端有接合余量，不含躯干；单一交付对象/姿势，不含其他零件、对照姿势、sheet、文字、背景或地面投影。</x:v>
      </x:c>
      <x:c r="F77" s="38" t="str">
        <x:f>INDEX('素材需求'!$G$8:$G$119,MATCH(B77,'素材需求'!$A$8:$A$119,0))</x:f>
        <x:v>圆润暖黄软胶玩偶与低龄动画吉祥物；奶白肚皮、短肢、圆眼、柔软尾巴，参考现代儿童内容的干净平面形状，避免恐怖版恐龙。 以NMV2_ABN_N01_01的新常态定稿核对轮廓与配色。</x:v>
      </x:c>
      <x:c r="G77" s="38" t="str">
        <x:f>INDEX('素材需求'!$B$8:$B$119,MATCH(B77,'素材需求'!$A$8:$A$119,0))</x:f>
        <x:v>P0常态</x:v>
      </x:c>
      <x:c r="H77" s="38" t="str">
        <x:v>游戏拆件／贴图</x:v>
      </x:c>
      <x:c r="I7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77" s="38" t="str">
        <x:v>art_delivery/nm_v2/abnormalities/</x:v>
      </x:c>
      <x:c r="K77" s="45" t="str">
        <x:v>待生成</x:v>
      </x:c>
      <x:c r="L77" s="38" t="str">
        <x:v>arm_right</x:v>
      </x:c>
    </x:row>
    <x:row r="78" ht="300" customHeight="1">
      <x:c r="A78" s="37" t="str">
        <x:f>INDEX('素材需求'!$D$8:$D$119,MATCH(B78,'素材需求'!$A$8:$A$119,0))&amp;IF(L78="","","_"&amp;L78)&amp;".png"</x:f>
        <x:v>nm_v2_abn_nailong_base_parts_foot_left.png</x:v>
      </x:c>
      <x:c r="B78" s="37" t="str">
        <x:v>NMV2_ABN_N01_02</x:v>
      </x:c>
      <x:c r="C78" s="37" t="str">
        <x:v>远侧短脚</x:v>
      </x:c>
      <x:c r="D78" s="37" t="str">
        <x:f>"【交付文件】"&amp;A78&amp;CHAR(10)&amp;"【本张任务】"&amp;C78&amp;CHAR(10)&amp;'生成规范'!$B$8&amp;CHAR(10)&amp;"【单张范围】"&amp;E78&amp;CHAR(10)&amp;"【本组造型约束】"&amp;INDEX('素材需求'!$F$8:$F$119,MATCH(B78,'素材需求'!$A$8:$A$119,0))&amp;CHAR(10)&amp;"【参考对象】"&amp;F78&amp;CHAR(10)&amp;"【制作规格】"&amp;I78&amp;"；"&amp;INDEX('素材需求'!$M$8:$M$119,MATCH(B78,'素材需求'!$A$8:$A$119,0))&amp;CHAR(10)&amp;"【颜色】"&amp;'生成规范'!$B$10&amp;"；"&amp;'生成规范'!$B$11&amp;CHAR(10)&amp;"【输出规则】"&amp;'生成规范'!$B$12&amp;" 后处理对齐尺寸与轴点；交付用途："&amp;H78&amp;CHAR(10)&amp;"【禁止项】"&amp;'生成规范'!$B$9&amp;"；"&amp;INDEX('素材需求'!$N$8:$N$119,MATCH(B78,'素材需求'!$A$8:$A$119,0))</x:f>
        <x:v>【交付文件】nm_v2_abn_nailong_base_parts_foot_left.png
【本张任务】远侧短脚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【单张范围】只画本张：远侧圆润短脚与小腿一体，足底平稳，不含躯干；单一交付对象/姿势，不含其他零件、对照姿势、sheet、文字、背景或地面投影。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旧ABN_N01_04的长颈、裂口、空眼替换为同体型常态9件加污染面部2件；保留短肢可动骨架。主形和分身只复用同一资源，定稿不得直接代替活动实体。 每张只画units当前部件，头部/脸层分离，不能把组内完整角色或其他部件带入本张。
【参考对象】圆润暖黄软胶玩偶与低龄动画吉祥物；奶白肚皮、短肢、圆眼、柔软尾巴，参考现代儿童内容的干净平面形状，避免恐怖版恐龙。 以NMV2_ABN_N01_01的新常态定稿核对轮廓与配色。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78" s="37" t="str">
        <x:v>只画本张：远侧圆润短脚与小腿一体，足底平稳，不含躯干；单一交付对象/姿势，不含其他零件、对照姿势、sheet、文字、背景或地面投影。</x:v>
      </x:c>
      <x:c r="F78" s="37" t="str">
        <x:f>INDEX('素材需求'!$G$8:$G$119,MATCH(B78,'素材需求'!$A$8:$A$119,0))</x:f>
        <x:v>圆润暖黄软胶玩偶与低龄动画吉祥物；奶白肚皮、短肢、圆眼、柔软尾巴，参考现代儿童内容的干净平面形状，避免恐怖版恐龙。 以NMV2_ABN_N01_01的新常态定稿核对轮廓与配色。</x:v>
      </x:c>
      <x:c r="G78" s="37" t="str">
        <x:f>INDEX('素材需求'!$B$8:$B$119,MATCH(B78,'素材需求'!$A$8:$A$119,0))</x:f>
        <x:v>P0常态</x:v>
      </x:c>
      <x:c r="H78" s="37" t="str">
        <x:v>游戏拆件／贴图</x:v>
      </x:c>
      <x:c r="I7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78" s="37" t="str">
        <x:v>art_delivery/nm_v2/abnormalities/</x:v>
      </x:c>
      <x:c r="K78" s="45" t="str">
        <x:v>待生成</x:v>
      </x:c>
      <x:c r="L78" s="37" t="str">
        <x:v>foot_left</x:v>
      </x:c>
    </x:row>
    <x:row r="79" ht="300" customHeight="1">
      <x:c r="A79" s="38" t="str">
        <x:f>INDEX('素材需求'!$D$8:$D$119,MATCH(B79,'素材需求'!$A$8:$A$119,0))&amp;IF(L79="","","_"&amp;L79)&amp;".png"</x:f>
        <x:v>nm_v2_abn_nailong_base_parts_foot_right.png</x:v>
      </x:c>
      <x:c r="B79" s="38" t="str">
        <x:v>NMV2_ABN_N01_02</x:v>
      </x:c>
      <x:c r="C79" s="38" t="str">
        <x:v>近侧短脚</x:v>
      </x:c>
      <x:c r="D79" s="38" t="str">
        <x:f>"【交付文件】"&amp;A79&amp;CHAR(10)&amp;"【本张任务】"&amp;C79&amp;CHAR(10)&amp;'生成规范'!$B$8&amp;CHAR(10)&amp;"【单张范围】"&amp;E79&amp;CHAR(10)&amp;"【本组造型约束】"&amp;INDEX('素材需求'!$F$8:$F$119,MATCH(B79,'素材需求'!$A$8:$A$119,0))&amp;CHAR(10)&amp;"【参考对象】"&amp;F79&amp;CHAR(10)&amp;"【制作规格】"&amp;I79&amp;"；"&amp;INDEX('素材需求'!$M$8:$M$119,MATCH(B79,'素材需求'!$A$8:$A$119,0))&amp;CHAR(10)&amp;"【颜色】"&amp;'生成规范'!$B$10&amp;"；"&amp;'生成规范'!$B$11&amp;CHAR(10)&amp;"【输出规则】"&amp;'生成规范'!$B$12&amp;" 后处理对齐尺寸与轴点；交付用途："&amp;H79&amp;CHAR(10)&amp;"【禁止项】"&amp;'生成规范'!$B$9&amp;"；"&amp;INDEX('素材需求'!$N$8:$N$119,MATCH(B79,'素材需求'!$A$8:$A$119,0))</x:f>
        <x:v>【交付文件】nm_v2_abn_nailong_base_parts_foot_right.png
【本张任务】近侧短脚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【单张范围】只画本张：近侧圆润短脚与小腿一体，足底平稳，不含躯干；单一交付对象/姿势，不含其他零件、对照姿势、sheet、文字、背景或地面投影。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旧ABN_N01_04的长颈、裂口、空眼替换为同体型常态9件加污染面部2件；保留短肢可动骨架。主形和分身只复用同一资源，定稿不得直接代替活动实体。 每张只画units当前部件，头部/脸层分离，不能把组内完整角色或其他部件带入本张。
【参考对象】圆润暖黄软胶玩偶与低龄动画吉祥物；奶白肚皮、短肢、圆眼、柔软尾巴，参考现代儿童内容的干净平面形状，避免恐怖版恐龙。 以NMV2_ABN_N01_01的新常态定稿核对轮廓与配色。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79" s="38" t="str">
        <x:v>只画本张：近侧圆润短脚与小腿一体，足底平稳，不含躯干；单一交付对象/姿势，不含其他零件、对照姿势、sheet、文字、背景或地面投影。</x:v>
      </x:c>
      <x:c r="F79" s="38" t="str">
        <x:f>INDEX('素材需求'!$G$8:$G$119,MATCH(B79,'素材需求'!$A$8:$A$119,0))</x:f>
        <x:v>圆润暖黄软胶玩偶与低龄动画吉祥物；奶白肚皮、短肢、圆眼、柔软尾巴，参考现代儿童内容的干净平面形状，避免恐怖版恐龙。 以NMV2_ABN_N01_01的新常态定稿核对轮廓与配色。</x:v>
      </x:c>
      <x:c r="G79" s="38" t="str">
        <x:f>INDEX('素材需求'!$B$8:$B$119,MATCH(B79,'素材需求'!$A$8:$A$119,0))</x:f>
        <x:v>P0常态</x:v>
      </x:c>
      <x:c r="H79" s="38" t="str">
        <x:v>游戏拆件／贴图</x:v>
      </x:c>
      <x:c r="I7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79" s="38" t="str">
        <x:v>art_delivery/nm_v2/abnormalities/</x:v>
      </x:c>
      <x:c r="K79" s="45" t="str">
        <x:v>待生成</x:v>
      </x:c>
      <x:c r="L79" s="38" t="str">
        <x:v>foot_right</x:v>
      </x:c>
    </x:row>
    <x:row r="80" ht="300" customHeight="1">
      <x:c r="A80" s="37" t="str">
        <x:f>INDEX('素材需求'!$D$8:$D$119,MATCH(B80,'素材需求'!$A$8:$A$119,0))&amp;IF(L80="","","_"&amp;L80)&amp;".png"</x:f>
        <x:v>nm_v2_abn_nailong_base_parts_tail.png</x:v>
      </x:c>
      <x:c r="B80" s="37" t="str">
        <x:v>NMV2_ABN_N01_02</x:v>
      </x:c>
      <x:c r="C80" s="37" t="str">
        <x:v>柔软短尾</x:v>
      </x:c>
      <x:c r="D80" s="37" t="str">
        <x:f>"【交付文件】"&amp;A80&amp;CHAR(10)&amp;"【本张任务】"&amp;C80&amp;CHAR(10)&amp;'生成规范'!$B$8&amp;CHAR(10)&amp;"【单张范围】"&amp;E80&amp;CHAR(10)&amp;"【本组造型约束】"&amp;INDEX('素材需求'!$F$8:$F$119,MATCH(B80,'素材需求'!$A$8:$A$119,0))&amp;CHAR(10)&amp;"【参考对象】"&amp;F80&amp;CHAR(10)&amp;"【制作规格】"&amp;I80&amp;"；"&amp;INDEX('素材需求'!$M$8:$M$119,MATCH(B80,'素材需求'!$A$8:$A$119,0))&amp;CHAR(10)&amp;"【颜色】"&amp;'生成规范'!$B$10&amp;"；"&amp;'生成规范'!$B$11&amp;CHAR(10)&amp;"【输出规则】"&amp;'生成规范'!$B$12&amp;" 后处理对齐尺寸与轴点；交付用途："&amp;H80&amp;CHAR(10)&amp;"【禁止项】"&amp;'生成规范'!$B$9&amp;"；"&amp;INDEX('素材需求'!$N$8:$N$119,MATCH(B80,'素材需求'!$A$8:$A$119,0))</x:f>
        <x:v>【交付文件】nm_v2_abn_nailong_base_parts_tail.png
【本张任务】柔软短尾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【单张范围】只画本张：一条柔软短尾，尾根有接合余量，无身体；单一交付对象/姿势，不含其他零件、对照姿势、sheet、文字、背景或地面投影。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旧ABN_N01_04的长颈、裂口、空眼替换为同体型常态9件加污染面部2件；保留短肢可动骨架。主形和分身只复用同一资源，定稿不得直接代替活动实体。 每张只画units当前部件，头部/脸层分离，不能把组内完整角色或其他部件带入本张。
【参考对象】圆润暖黄软胶玩偶与低龄动画吉祥物；奶白肚皮、短肢、圆眼、柔软尾巴，参考现代儿童内容的干净平面形状，避免恐怖版恐龙。 以NMV2_ABN_N01_01的新常态定稿核对轮廓与配色。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80" s="37" t="str">
        <x:v>只画本张：一条柔软短尾，尾根有接合余量，无身体；单一交付对象/姿势，不含其他零件、对照姿势、sheet、文字、背景或地面投影。</x:v>
      </x:c>
      <x:c r="F80" s="37" t="str">
        <x:f>INDEX('素材需求'!$G$8:$G$119,MATCH(B80,'素材需求'!$A$8:$A$119,0))</x:f>
        <x:v>圆润暖黄软胶玩偶与低龄动画吉祥物；奶白肚皮、短肢、圆眼、柔软尾巴，参考现代儿童内容的干净平面形状，避免恐怖版恐龙。 以NMV2_ABN_N01_01的新常态定稿核对轮廓与配色。</x:v>
      </x:c>
      <x:c r="G80" s="37" t="str">
        <x:f>INDEX('素材需求'!$B$8:$B$119,MATCH(B80,'素材需求'!$A$8:$A$119,0))</x:f>
        <x:v>P0常态</x:v>
      </x:c>
      <x:c r="H80" s="37" t="str">
        <x:v>游戏拆件／贴图</x:v>
      </x:c>
      <x:c r="I8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80" s="37" t="str">
        <x:v>art_delivery/nm_v2/abnormalities/</x:v>
      </x:c>
      <x:c r="K80" s="45" t="str">
        <x:v>待生成</x:v>
      </x:c>
      <x:c r="L80" s="37" t="str">
        <x:v>tail</x:v>
      </x:c>
    </x:row>
    <x:row r="81" ht="328.5" customHeight="1">
      <x:c r="A81" s="38" t="str">
        <x:f>INDEX('素材需求'!$D$8:$D$119,MATCH(B81,'素材需求'!$A$8:$A$119,0))&amp;IF(L81="","","_"&amp;L81)&amp;".png"</x:f>
        <x:v>nm_v2_abn_nailong_work_reference_listen.png</x:v>
      </x:c>
      <x:c r="B81" s="38" t="str">
        <x:v>NMV2_ABN_N01_03</x:v>
      </x:c>
      <x:c r="C81" s="38" t="str">
        <x:v>专注聆听</x:v>
      </x:c>
      <x:c r="D81" s="38" t="str">
        <x:f>"【交付文件】"&amp;A81&amp;CHAR(10)&amp;"【本张任务】"&amp;C81&amp;CHAR(10)&amp;'生成规范'!$B$8&amp;CHAR(10)&amp;"【单张范围】"&amp;E81&amp;CHAR(10)&amp;"【本组造型约束】"&amp;INDEX('素材需求'!$F$8:$F$119,MATCH(B81,'素材需求'!$A$8:$A$119,0))&amp;CHAR(10)&amp;"【参考对象】"&amp;F81&amp;CHAR(10)&amp;"【制作规格】"&amp;I81&amp;"；"&amp;INDEX('素材需求'!$M$8:$M$119,MATCH(B81,'素材需求'!$A$8:$A$119,0))&amp;CHAR(10)&amp;"【颜色】"&amp;'生成规范'!$B$10&amp;"；"&amp;'生成规范'!$B$11&amp;CHAR(10)&amp;"【输出规则】"&amp;'生成规范'!$B$12&amp;" 后处理对齐尺寸与轴点；交付用途："&amp;H81&amp;CHAR(10)&amp;"【禁止项】"&amp;'生成规范'!$B$9&amp;"；"&amp;INDEX('素材需求'!$N$8:$N$119,MATCH(B81,'素材需求'!$A$8:$A$119,0))</x:f>
        <x:v>【交付文件】nm_v2_abn_nailong_work_reference_listen.png
【本张任务】专注聆听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【单张范围】只画本张：一只完整常态奶龙在原地微偏头听员工说话，短手自然垂放，双脚仍落地；单一交付对象/姿势，不含其他零件、对照姿势、sheet、文字、背景或地面投影。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【参考对象】圆润暖黄软胶玩偶与低龄动画吉祥物；奶白肚皮、短肢、圆眼、柔软尾巴，参考现代儿童内容的干净平面形状，避免恐怖版恐龙。 参考温和的观察、回应或安抚互动；沿用NMV2_ABN_N01_01新造型，不画员工同框。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81" s="38" t="str">
        <x:v>只画本张：一只完整常态奶龙在原地微偏头听员工说话，短手自然垂放，双脚仍落地；单一交付对象/姿势，不含其他零件、对照姿势、sheet、文字、背景或地面投影。</x:v>
      </x:c>
      <x:c r="F81" s="38" t="str">
        <x:f>INDEX('素材需求'!$G$8:$G$119,MATCH(B81,'素材需求'!$A$8:$A$119,0))</x:f>
        <x:v>圆润暖黄软胶玩偶与低龄动画吉祥物；奶白肚皮、短肢、圆眼、柔软尾巴，参考现代儿童内容的干净平面形状，避免恐怖版恐龙。 参考温和的观察、回应或安抚互动；沿用NMV2_ABN_N01_01新造型，不画员工同框。</x:v>
      </x:c>
      <x:c r="G81" s="38" t="str">
        <x:f>INDEX('素材需求'!$B$8:$B$119,MATCH(B81,'素材需求'!$A$8:$A$119,0))</x:f>
        <x:v>P0常态</x:v>
      </x:c>
      <x:c r="H81" s="38" t="str">
        <x:v>定稿／动作参考</x:v>
      </x:c>
      <x:c r="I8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81" s="38" t="str">
        <x:v>art_delivery/nm_v2/references/</x:v>
      </x:c>
      <x:c r="K81" s="45" t="str">
        <x:v>待生成</x:v>
      </x:c>
      <x:c r="L81" s="38" t="str">
        <x:v>listen</x:v>
      </x:c>
    </x:row>
    <x:row r="82" ht="328.5" customHeight="1">
      <x:c r="A82" s="37" t="str">
        <x:f>INDEX('素材需求'!$D$8:$D$119,MATCH(B82,'素材需求'!$A$8:$A$119,0))&amp;IF(L82="","","_"&amp;L82)&amp;".png"</x:f>
        <x:v>nm_v2_abn_nailong_work_reference_respond.png</x:v>
      </x:c>
      <x:c r="B82" s="37" t="str">
        <x:v>NMV2_ABN_N01_03</x:v>
      </x:c>
      <x:c r="C82" s="37" t="str">
        <x:v>互动回应</x:v>
      </x:c>
      <x:c r="D82" s="37" t="str">
        <x:f>"【交付文件】"&amp;A82&amp;CHAR(10)&amp;"【本张任务】"&amp;C82&amp;CHAR(10)&amp;'生成规范'!$B$8&amp;CHAR(10)&amp;"【单张范围】"&amp;E82&amp;CHAR(10)&amp;"【本组造型约束】"&amp;INDEX('素材需求'!$F$8:$F$119,MATCH(B82,'素材需求'!$A$8:$A$119,0))&amp;CHAR(10)&amp;"【参考对象】"&amp;F82&amp;CHAR(10)&amp;"【制作规格】"&amp;I82&amp;"；"&amp;INDEX('素材需求'!$M$8:$M$119,MATCH(B82,'素材需求'!$A$8:$A$119,0))&amp;CHAR(10)&amp;"【颜色】"&amp;'生成规范'!$B$10&amp;"；"&amp;'生成规范'!$B$11&amp;CHAR(10)&amp;"【输出规则】"&amp;'生成规范'!$B$12&amp;" 后处理对齐尺寸与轴点；交付用途："&amp;H82&amp;CHAR(10)&amp;"【禁止项】"&amp;'生成规范'!$B$9&amp;"；"&amp;INDEX('素材需求'!$N$8:$N$119,MATCH(B82,'素材需求'!$A$8:$A$119,0))</x:f>
        <x:v>【交付文件】nm_v2_abn_nailong_work_reference_respond.png
【本张任务】互动回应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【单张范围】只画本张：一只完整常态奶龙轻抬一只短手作温和回应，保持正常头身比例，双脚仍落地；单一交付对象/姿势，不含其他零件、对照姿势、sheet、文字、背景或地面投影。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【参考对象】圆润暖黄软胶玩偶与低龄动画吉祥物；奶白肚皮、短肢、圆眼、柔软尾巴，参考现代儿童内容的干净平面形状，避免恐怖版恐龙。 参考温和的观察、回应或安抚互动；沿用NMV2_ABN_N01_01新造型，不画员工同框。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82" s="37" t="str">
        <x:v>只画本张：一只完整常态奶龙轻抬一只短手作温和回应，保持正常头身比例，双脚仍落地；单一交付对象/姿势，不含其他零件、对照姿势、sheet、文字、背景或地面投影。</x:v>
      </x:c>
      <x:c r="F82" s="37" t="str">
        <x:f>INDEX('素材需求'!$G$8:$G$119,MATCH(B82,'素材需求'!$A$8:$A$119,0))</x:f>
        <x:v>圆润暖黄软胶玩偶与低龄动画吉祥物；奶白肚皮、短肢、圆眼、柔软尾巴，参考现代儿童内容的干净平面形状，避免恐怖版恐龙。 参考温和的观察、回应或安抚互动；沿用NMV2_ABN_N01_01新造型，不画员工同框。</x:v>
      </x:c>
      <x:c r="G82" s="37" t="str">
        <x:f>INDEX('素材需求'!$B$8:$B$119,MATCH(B82,'素材需求'!$A$8:$A$119,0))</x:f>
        <x:v>P0常态</x:v>
      </x:c>
      <x:c r="H82" s="37" t="str">
        <x:v>定稿／动作参考</x:v>
      </x:c>
      <x:c r="I8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82" s="37" t="str">
        <x:v>art_delivery/nm_v2/references/</x:v>
      </x:c>
      <x:c r="K82" s="45" t="str">
        <x:v>待生成</x:v>
      </x:c>
      <x:c r="L82" s="37" t="str">
        <x:v>respond</x:v>
      </x:c>
    </x:row>
    <x:row r="83" ht="300" customHeight="1">
      <x:c r="A83" s="38" t="str">
        <x:f>INDEX('素材需求'!$D$8:$D$119,MATCH(B83,'素材需求'!$A$8:$A$119,0))&amp;IF(L83="","","_"&amp;L83)&amp;".png"</x:f>
        <x:v>nm_v2_abn_maodie_calm_identity_approved.png</x:v>
      </x:c>
      <x:c r="B83" s="38" t="str">
        <x:v>NMV2_ABN_N02_01</x:v>
      </x:c>
      <x:c r="C83" s="38" t="str">
        <x:v>常态完整形象</x:v>
      </x:c>
      <x:c r="D83" s="38" t="str">
        <x:f>"【交付文件】"&amp;A83&amp;CHAR(10)&amp;"【本张任务】"&amp;C83&amp;CHAR(10)&amp;'生成规范'!$B$8&amp;CHAR(10)&amp;"【单张范围】"&amp;E83&amp;CHAR(10)&amp;"【本组造型约束】"&amp;INDEX('素材需求'!$F$8:$F$119,MATCH(B83,'素材需求'!$A$8:$A$119,0))&amp;CHAR(10)&amp;"【参考对象】"&amp;F83&amp;CHAR(10)&amp;"【制作规格】"&amp;I83&amp;"；"&amp;INDEX('素材需求'!$M$8:$M$119,MATCH(B83,'素材需求'!$A$8:$A$119,0))&amp;CHAR(10)&amp;"【颜色】"&amp;'生成规范'!$B$10&amp;"；"&amp;'生成规范'!$B$11&amp;CHAR(10)&amp;"【输出规则】"&amp;'生成规范'!$B$12&amp;" 后处理对齐尺寸与轴点；交付用途："&amp;H83&amp;CHAR(10)&amp;"【禁止项】"&amp;'生成规范'!$B$9&amp;"；"&amp;INDEX('素材需求'!$N$8:$N$119,MATCH(B83,'素材需求'!$A$8:$A$119,0))</x:f>
        <x:v>【交付文件】nm_v2_abn_maodie_calm_identity_approved.png
【本张任务】常态完整形象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的耄耋常态形象，朝右自然待机；暖灰与脏粉相配的短躯干猫，三角耳、略有棱角的脸轮廓、可读的眉眼、真实比例的短前肢与后足、弯曲尾巴；荒诞且情绪多变，但不是僵尸猫或长肢怪。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常态不绘失效气泡、花屏或警报。
【参考对象】暖灰短毛猫的三角耳、圆角方脸与翘尾；结合情绪表情包里不耐烦、震惊、气鼓鼓的眉眼，使用简洁扁平色块和脏粉耳内色。 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83" s="38" t="str">
        <x:v>只画本张：一只完整的耄耋常态形象，朝右自然待机；暖灰与脏粉相配的短躯干猫，三角耳、略有棱角的脸轮廓、可读的眉眼、真实比例的短前肢与后足、弯曲尾巴；荒诞且情绪多变，但不是僵尸猫或长肢怪。；单一交付对象/姿势，不含其他零件、对照姿势、sheet、文字、背景或地面投影。</x:v>
      </x:c>
      <x:c r="F83" s="38" t="str">
        <x:f>INDEX('素材需求'!$G$8:$G$119,MATCH(B83,'素材需求'!$A$8:$A$119,0))</x:f>
        <x:v>暖灰短毛猫的三角耳、圆角方脸与翘尾；结合情绪表情包里不耐烦、震惊、气鼓鼓的眉眼，使用简洁扁平色块和脏粉耳内色。 </x:v>
      </x:c>
      <x:c r="G83" s="38" t="str">
        <x:f>INDEX('素材需求'!$B$8:$B$119,MATCH(B83,'素材需求'!$A$8:$A$119,0))</x:f>
        <x:v>P0常态</x:v>
      </x:c>
      <x:c r="H83" s="38" t="str">
        <x:v>定稿／动作参考</x:v>
      </x:c>
      <x:c r="I8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83" s="38" t="str">
        <x:v>art_delivery/nm_v2/references/</x:v>
      </x:c>
      <x:c r="K83" s="45" t="str">
        <x:v>待生成</x:v>
      </x:c>
      <x:c r="L83" s="38" t="str">
        <x:v>approved</x:v>
      </x:c>
    </x:row>
    <x:row r="84" ht="300" customHeight="1">
      <x:c r="A84" s="37" t="str">
        <x:f>INDEX('素材需求'!$D$8:$D$119,MATCH(B84,'素材需求'!$A$8:$A$119,0))&amp;IF(L84="","","_"&amp;L84)&amp;".png"</x:f>
        <x:v>nm_v2_abn_maodie_base_parts_body.png</x:v>
      </x:c>
      <x:c r="B84" s="37" t="str">
        <x:v>NMV2_ABN_N02_02</x:v>
      </x:c>
      <x:c r="C84" s="37" t="str">
        <x:v>短躯干</x:v>
      </x:c>
      <x:c r="D84" s="37" t="str">
        <x:f>"【交付文件】"&amp;A84&amp;CHAR(10)&amp;"【本张任务】"&amp;C84&amp;CHAR(10)&amp;'生成规范'!$B$8&amp;CHAR(10)&amp;"【单张范围】"&amp;E84&amp;CHAR(10)&amp;"【本组造型约束】"&amp;INDEX('素材需求'!$F$8:$F$119,MATCH(B84,'素材需求'!$A$8:$A$119,0))&amp;CHAR(10)&amp;"【参考对象】"&amp;F84&amp;CHAR(10)&amp;"【制作规格】"&amp;I84&amp;"；"&amp;INDEX('素材需求'!$M$8:$M$119,MATCH(B84,'素材需求'!$A$8:$A$119,0))&amp;CHAR(10)&amp;"【颜色】"&amp;'生成规范'!$B$10&amp;"；"&amp;'生成规范'!$B$11&amp;CHAR(10)&amp;"【输出规则】"&amp;'生成规范'!$B$12&amp;" 后处理对齐尺寸与轴点；交付用途："&amp;H84&amp;CHAR(10)&amp;"【禁止项】"&amp;'生成规范'!$B$9&amp;"；"&amp;INDEX('素材需求'!$N$8:$N$119,MATCH(B84,'素材需求'!$A$8:$A$119,0))</x:f>
        <x:v>【交付文件】nm_v2_abn_maodie_base_parts_body.png
【本张任务】短躯干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【单张范围】只画本张：暖灰猫躯干，脏粉腹部小色块，肩颈和后腿根留余量，无头、肢体或尾；单一交付对象/姿势，不含其他零件、对照姿势、sheet、文字、背景或地面投影。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旧ABN_N02_04的失效长肢与恐怖头不再使用；常态8件复用到失效，只增加1张情绪脸层。耳、尾与正常短肢负责轮廓，不靠拉长肢体区分状态。 每张只画units当前部件，头部/脸层分离，不能把组内完整角色或其他部件带入本张。
【参考对象】暖灰短毛猫的三角耳、圆角方脸与翘尾；结合情绪表情包里不耐烦、震惊、气鼓鼓的眉眼，使用简洁扁平色块和脏粉耳内色。 以NMV2_ABN_N02_01的新常态定稿核对轮廓与配色。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84" s="37" t="str">
        <x:v>只画本张：暖灰猫躯干，脏粉腹部小色块，肩颈和后腿根留余量，无头、肢体或尾；单一交付对象/姿势，不含其他零件、对照姿势、sheet、文字、背景或地面投影。</x:v>
      </x:c>
      <x:c r="F84" s="37" t="str">
        <x:f>INDEX('素材需求'!$G$8:$G$119,MATCH(B84,'素材需求'!$A$8:$A$119,0))</x:f>
        <x:v>暖灰短毛猫的三角耳、圆角方脸与翘尾；结合情绪表情包里不耐烦、震惊、气鼓鼓的眉眼，使用简洁扁平色块和脏粉耳内色。 以NMV2_ABN_N02_01的新常态定稿核对轮廓与配色。</x:v>
      </x:c>
      <x:c r="G84" s="37" t="str">
        <x:f>INDEX('素材需求'!$B$8:$B$119,MATCH(B84,'素材需求'!$A$8:$A$119,0))</x:f>
        <x:v>P0常态</x:v>
      </x:c>
      <x:c r="H84" s="37" t="str">
        <x:v>游戏拆件／贴图</x:v>
      </x:c>
      <x:c r="I8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84" s="37" t="str">
        <x:v>art_delivery/nm_v2/abnormalities/</x:v>
      </x:c>
      <x:c r="K84" s="45" t="str">
        <x:v>待生成</x:v>
      </x:c>
      <x:c r="L84" s="37" t="str">
        <x:v>body</x:v>
      </x:c>
    </x:row>
    <x:row r="85" ht="300" customHeight="1">
      <x:c r="A85" s="38" t="str">
        <x:f>INDEX('素材需求'!$D$8:$D$119,MATCH(B85,'素材需求'!$A$8:$A$119,0))&amp;IF(L85="","","_"&amp;L85)&amp;".png"</x:f>
        <x:v>nm_v2_abn_maodie_base_parts_head_ears.png</x:v>
      </x:c>
      <x:c r="B85" s="38" t="str">
        <x:v>NMV2_ABN_N02_02</x:v>
      </x:c>
      <x:c r="C85" s="38" t="str">
        <x:v>头与双耳</x:v>
      </x:c>
      <x:c r="D85" s="38" t="str">
        <x:f>"【交付文件】"&amp;A85&amp;CHAR(10)&amp;"【本张任务】"&amp;C85&amp;CHAR(10)&amp;'生成规范'!$B$8&amp;CHAR(10)&amp;"【单张范围】"&amp;E85&amp;CHAR(10)&amp;"【本组造型约束】"&amp;INDEX('素材需求'!$F$8:$F$119,MATCH(B85,'素材需求'!$A$8:$A$119,0))&amp;CHAR(10)&amp;"【参考对象】"&amp;F85&amp;CHAR(10)&amp;"【制作规格】"&amp;I85&amp;"；"&amp;INDEX('素材需求'!$M$8:$M$119,MATCH(B85,'素材需求'!$A$8:$A$119,0))&amp;CHAR(10)&amp;"【颜色】"&amp;'生成规范'!$B$10&amp;"；"&amp;'生成规范'!$B$11&amp;CHAR(10)&amp;"【输出规则】"&amp;'生成规范'!$B$12&amp;" 后处理对齐尺寸与轴点；交付用途："&amp;H85&amp;CHAR(10)&amp;"【禁止项】"&amp;'生成规范'!$B$9&amp;"；"&amp;INDEX('素材需求'!$N$8:$N$119,MATCH(B85,'素材需求'!$A$8:$A$119,0))</x:f>
        <x:v>【交付文件】nm_v2_abn_maodie_base_parts_head_ears.png
【本张任务】头与双耳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【单张范围】只画本张：一只猫头轮廓和两只三角耳的一体部件，脏粉耳内，面部留空，无身体；单一交付对象/姿势，不含其他零件、对照姿势、sheet、文字、背景或地面投影。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旧ABN_N02_04的失效长肢与恐怖头不再使用；常态8件复用到失效，只增加1张情绪脸层。耳、尾与正常短肢负责轮廓，不靠拉长肢体区分状态。 每张只画units当前部件，头部/脸层分离，不能把组内完整角色或其他部件带入本张。
【参考对象】暖灰短毛猫的三角耳、圆角方脸与翘尾；结合情绪表情包里不耐烦、震惊、气鼓鼓的眉眼，使用简洁扁平色块和脏粉耳内色。 以NMV2_ABN_N02_01的新常态定稿核对轮廓与配色。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85" s="38" t="str">
        <x:v>只画本张：一只猫头轮廓和两只三角耳的一体部件，脏粉耳内，面部留空，无身体；单一交付对象/姿势，不含其他零件、对照姿势、sheet、文字、背景或地面投影。</x:v>
      </x:c>
      <x:c r="F85" s="38" t="str">
        <x:f>INDEX('素材需求'!$G$8:$G$119,MATCH(B85,'素材需求'!$A$8:$A$119,0))</x:f>
        <x:v>暖灰短毛猫的三角耳、圆角方脸与翘尾；结合情绪表情包里不耐烦、震惊、气鼓鼓的眉眼，使用简洁扁平色块和脏粉耳内色。 以NMV2_ABN_N02_01的新常态定稿核对轮廓与配色。</x:v>
      </x:c>
      <x:c r="G85" s="38" t="str">
        <x:f>INDEX('素材需求'!$B$8:$B$119,MATCH(B85,'素材需求'!$A$8:$A$119,0))</x:f>
        <x:v>P0常态</x:v>
      </x:c>
      <x:c r="H85" s="38" t="str">
        <x:v>游戏拆件／贴图</x:v>
      </x:c>
      <x:c r="I8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85" s="38" t="str">
        <x:v>art_delivery/nm_v2/abnormalities/</x:v>
      </x:c>
      <x:c r="K85" s="45" t="str">
        <x:v>待生成</x:v>
      </x:c>
      <x:c r="L85" s="38" t="str">
        <x:v>head_ears</x:v>
      </x:c>
    </x:row>
    <x:row r="86" ht="300" customHeight="1">
      <x:c r="A86" s="37" t="str">
        <x:f>INDEX('素材需求'!$D$8:$D$119,MATCH(B86,'素材需求'!$A$8:$A$119,0))&amp;IF(L86="","","_"&amp;L86)&amp;".png"</x:f>
        <x:v>nm_v2_abn_maodie_base_parts_calm_face.png</x:v>
      </x:c>
      <x:c r="B86" s="37" t="str">
        <x:v>NMV2_ABN_N02_02</x:v>
      </x:c>
      <x:c r="C86" s="37" t="str">
        <x:v>常态脸层</x:v>
      </x:c>
      <x:c r="D86" s="37" t="str">
        <x:f>"【交付文件】"&amp;A86&amp;CHAR(10)&amp;"【本张任务】"&amp;C86&amp;CHAR(10)&amp;'生成规范'!$B$8&amp;CHAR(10)&amp;"【单张范围】"&amp;E86&amp;CHAR(10)&amp;"【本组造型约束】"&amp;INDEX('素材需求'!$F$8:$F$119,MATCH(B86,'素材需求'!$A$8:$A$119,0))&amp;CHAR(10)&amp;"【参考对象】"&amp;F86&amp;CHAR(10)&amp;"【制作规格】"&amp;I86&amp;"；"&amp;INDEX('素材需求'!$M$8:$M$119,MATCH(B86,'素材需求'!$A$8:$A$119,0))&amp;CHAR(10)&amp;"【颜色】"&amp;'生成规范'!$B$10&amp;"；"&amp;'生成规范'!$B$11&amp;CHAR(10)&amp;"【输出规则】"&amp;'生成规范'!$B$12&amp;" 后处理对齐尺寸与轴点；交付用途："&amp;H86&amp;CHAR(10)&amp;"【禁止项】"&amp;'生成规范'!$B$9&amp;"；"&amp;INDEX('素材需求'!$N$8:$N$119,MATCH(B86,'素材需求'!$A$8:$A$119,0))</x:f>
        <x:v>【交付文件】nm_v2_abn_maodie_base_parts_calm_face.png
【本张任务】常态脸层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【单张范围】只画本张：一套正常眉眼鼻嘴，略不耐烦但没有狂怒，透明底，无脸部底色或耳；单一交付对象/姿势，不含其他零件、对照姿势、sheet、文字、背景或地面投影。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旧ABN_N02_04的失效长肢与恐怖头不再使用；常态8件复用到失效，只增加1张情绪脸层。耳、尾与正常短肢负责轮廓，不靠拉长肢体区分状态。 每张只画units当前部件，头部/脸层分离，不能把组内完整角色或其他部件带入本张。
【参考对象】暖灰短毛猫的三角耳、圆角方脸与翘尾；结合情绪表情包里不耐烦、震惊、气鼓鼓的眉眼，使用简洁扁平色块和脏粉耳内色。 以NMV2_ABN_N02_01的新常态定稿核对轮廓与配色。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86" s="37" t="str">
        <x:v>只画本张：一套正常眉眼鼻嘴，略不耐烦但没有狂怒，透明底，无脸部底色或耳；单一交付对象/姿势，不含其他零件、对照姿势、sheet、文字、背景或地面投影。</x:v>
      </x:c>
      <x:c r="F86" s="37" t="str">
        <x:f>INDEX('素材需求'!$G$8:$G$119,MATCH(B86,'素材需求'!$A$8:$A$119,0))</x:f>
        <x:v>暖灰短毛猫的三角耳、圆角方脸与翘尾；结合情绪表情包里不耐烦、震惊、气鼓鼓的眉眼，使用简洁扁平色块和脏粉耳内色。 以NMV2_ABN_N02_01的新常态定稿核对轮廓与配色。</x:v>
      </x:c>
      <x:c r="G86" s="37" t="str">
        <x:f>INDEX('素材需求'!$B$8:$B$119,MATCH(B86,'素材需求'!$A$8:$A$119,0))</x:f>
        <x:v>P0常态</x:v>
      </x:c>
      <x:c r="H86" s="37" t="str">
        <x:v>游戏拆件／贴图</x:v>
      </x:c>
      <x:c r="I8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86" s="37" t="str">
        <x:v>art_delivery/nm_v2/abnormalities/</x:v>
      </x:c>
      <x:c r="K86" s="45" t="str">
        <x:v>待生成</x:v>
      </x:c>
      <x:c r="L86" s="37" t="str">
        <x:v>calm_face</x:v>
      </x:c>
    </x:row>
    <x:row r="87" ht="300" customHeight="1">
      <x:c r="A87" s="38" t="str">
        <x:f>INDEX('素材需求'!$D$8:$D$119,MATCH(B87,'素材需求'!$A$8:$A$119,0))&amp;IF(L87="","","_"&amp;L87)&amp;".png"</x:f>
        <x:v>nm_v2_abn_maodie_base_parts_arm_left.png</x:v>
      </x:c>
      <x:c r="B87" s="38" t="str">
        <x:v>NMV2_ABN_N02_02</x:v>
      </x:c>
      <x:c r="C87" s="38" t="str">
        <x:v>远侧前肢</x:v>
      </x:c>
      <x:c r="D87" s="38" t="str">
        <x:f>"【交付文件】"&amp;A87&amp;CHAR(10)&amp;"【本张任务】"&amp;C87&amp;CHAR(10)&amp;'生成规范'!$B$8&amp;CHAR(10)&amp;"【单张范围】"&amp;E87&amp;CHAR(10)&amp;"【本组造型约束】"&amp;INDEX('素材需求'!$F$8:$F$119,MATCH(B87,'素材需求'!$A$8:$A$119,0))&amp;CHAR(10)&amp;"【参考对象】"&amp;F87&amp;CHAR(10)&amp;"【制作规格】"&amp;I87&amp;"；"&amp;INDEX('素材需求'!$M$8:$M$119,MATCH(B87,'素材需求'!$A$8:$A$119,0))&amp;CHAR(10)&amp;"【颜色】"&amp;'生成规范'!$B$10&amp;"；"&amp;'生成规范'!$B$11&amp;CHAR(10)&amp;"【输出规则】"&amp;'生成规范'!$B$12&amp;" 后处理对齐尺寸与轴点；交付用途："&amp;H87&amp;CHAR(10)&amp;"【禁止项】"&amp;'生成规范'!$B$9&amp;"；"&amp;INDEX('素材需求'!$N$8:$N$119,MATCH(B87,'素材需求'!$A$8:$A$119,0))</x:f>
        <x:v>【交付文件】nm_v2_abn_maodie_base_parts_arm_left.png
【本张任务】远侧前肢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【单张范围】只画本张：远侧正常长度猫前肢含小爪掌，圆钝爪形，无躯干；单一交付对象/姿势，不含其他零件、对照姿势、sheet、文字、背景或地面投影。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旧ABN_N02_04的失效长肢与恐怖头不再使用；常态8件复用到失效，只增加1张情绪脸层。耳、尾与正常短肢负责轮廓，不靠拉长肢体区分状态。 每张只画units当前部件，头部/脸层分离，不能把组内完整角色或其他部件带入本张。
【参考对象】暖灰短毛猫的三角耳、圆角方脸与翘尾；结合情绪表情包里不耐烦、震惊、气鼓鼓的眉眼，使用简洁扁平色块和脏粉耳内色。 以NMV2_ABN_N02_01的新常态定稿核对轮廓与配色。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87" s="38" t="str">
        <x:v>只画本张：远侧正常长度猫前肢含小爪掌，圆钝爪形，无躯干；单一交付对象/姿势，不含其他零件、对照姿势、sheet、文字、背景或地面投影。</x:v>
      </x:c>
      <x:c r="F87" s="38" t="str">
        <x:f>INDEX('素材需求'!$G$8:$G$119,MATCH(B87,'素材需求'!$A$8:$A$119,0))</x:f>
        <x:v>暖灰短毛猫的三角耳、圆角方脸与翘尾；结合情绪表情包里不耐烦、震惊、气鼓鼓的眉眼，使用简洁扁平色块和脏粉耳内色。 以NMV2_ABN_N02_01的新常态定稿核对轮廓与配色。</x:v>
      </x:c>
      <x:c r="G87" s="38" t="str">
        <x:f>INDEX('素材需求'!$B$8:$B$119,MATCH(B87,'素材需求'!$A$8:$A$119,0))</x:f>
        <x:v>P0常态</x:v>
      </x:c>
      <x:c r="H87" s="38" t="str">
        <x:v>游戏拆件／贴图</x:v>
      </x:c>
      <x:c r="I8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87" s="38" t="str">
        <x:v>art_delivery/nm_v2/abnormalities/</x:v>
      </x:c>
      <x:c r="K87" s="45" t="str">
        <x:v>待生成</x:v>
      </x:c>
      <x:c r="L87" s="38" t="str">
        <x:v>arm_left</x:v>
      </x:c>
    </x:row>
    <x:row r="88" ht="300" customHeight="1">
      <x:c r="A88" s="37" t="str">
        <x:f>INDEX('素材需求'!$D$8:$D$119,MATCH(B88,'素材需求'!$A$8:$A$119,0))&amp;IF(L88="","","_"&amp;L88)&amp;".png"</x:f>
        <x:v>nm_v2_abn_maodie_base_parts_arm_right.png</x:v>
      </x:c>
      <x:c r="B88" s="37" t="str">
        <x:v>NMV2_ABN_N02_02</x:v>
      </x:c>
      <x:c r="C88" s="37" t="str">
        <x:v>近侧前肢</x:v>
      </x:c>
      <x:c r="D88" s="37" t="str">
        <x:f>"【交付文件】"&amp;A88&amp;CHAR(10)&amp;"【本张任务】"&amp;C88&amp;CHAR(10)&amp;'生成规范'!$B$8&amp;CHAR(10)&amp;"【单张范围】"&amp;E88&amp;CHAR(10)&amp;"【本组造型约束】"&amp;INDEX('素材需求'!$F$8:$F$119,MATCH(B88,'素材需求'!$A$8:$A$119,0))&amp;CHAR(10)&amp;"【参考对象】"&amp;F88&amp;CHAR(10)&amp;"【制作规格】"&amp;I88&amp;"；"&amp;INDEX('素材需求'!$M$8:$M$119,MATCH(B88,'素材需求'!$A$8:$A$119,0))&amp;CHAR(10)&amp;"【颜色】"&amp;'生成规范'!$B$10&amp;"；"&amp;'生成规范'!$B$11&amp;CHAR(10)&amp;"【输出规则】"&amp;'生成规范'!$B$12&amp;" 后处理对齐尺寸与轴点；交付用途："&amp;H88&amp;CHAR(10)&amp;"【禁止项】"&amp;'生成规范'!$B$9&amp;"；"&amp;INDEX('素材需求'!$N$8:$N$119,MATCH(B88,'素材需求'!$A$8:$A$119,0))</x:f>
        <x:v>【交付文件】nm_v2_abn_maodie_base_parts_arm_right.png
【本张任务】近侧前肢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【单张范围】只画本张：近侧正常长度猫前肢含小爪掌，圆钝爪形，无躯干；单一交付对象/姿势，不含其他零件、对照姿势、sheet、文字、背景或地面投影。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旧ABN_N02_04的失效长肢与恐怖头不再使用；常态8件复用到失效，只增加1张情绪脸层。耳、尾与正常短肢负责轮廓，不靠拉长肢体区分状态。 每张只画units当前部件，头部/脸层分离，不能把组内完整角色或其他部件带入本张。
【参考对象】暖灰短毛猫的三角耳、圆角方脸与翘尾；结合情绪表情包里不耐烦、震惊、气鼓鼓的眉眼，使用简洁扁平色块和脏粉耳内色。 以NMV2_ABN_N02_01的新常态定稿核对轮廓与配色。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88" s="37" t="str">
        <x:v>只画本张：近侧正常长度猫前肢含小爪掌，圆钝爪形，无躯干；单一交付对象/姿势，不含其他零件、对照姿势、sheet、文字、背景或地面投影。</x:v>
      </x:c>
      <x:c r="F88" s="37" t="str">
        <x:f>INDEX('素材需求'!$G$8:$G$119,MATCH(B88,'素材需求'!$A$8:$A$119,0))</x:f>
        <x:v>暖灰短毛猫的三角耳、圆角方脸与翘尾；结合情绪表情包里不耐烦、震惊、气鼓鼓的眉眼，使用简洁扁平色块和脏粉耳内色。 以NMV2_ABN_N02_01的新常态定稿核对轮廓与配色。</x:v>
      </x:c>
      <x:c r="G88" s="37" t="str">
        <x:f>INDEX('素材需求'!$B$8:$B$119,MATCH(B88,'素材需求'!$A$8:$A$119,0))</x:f>
        <x:v>P0常态</x:v>
      </x:c>
      <x:c r="H88" s="37" t="str">
        <x:v>游戏拆件／贴图</x:v>
      </x:c>
      <x:c r="I8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88" s="37" t="str">
        <x:v>art_delivery/nm_v2/abnormalities/</x:v>
      </x:c>
      <x:c r="K88" s="45" t="str">
        <x:v>待生成</x:v>
      </x:c>
      <x:c r="L88" s="37" t="str">
        <x:v>arm_right</x:v>
      </x:c>
    </x:row>
    <x:row r="89" ht="300" customHeight="1">
      <x:c r="A89" s="38" t="str">
        <x:f>INDEX('素材需求'!$D$8:$D$119,MATCH(B89,'素材需求'!$A$8:$A$119,0))&amp;IF(L89="","","_"&amp;L89)&amp;".png"</x:f>
        <x:v>nm_v2_abn_maodie_base_parts_hind_foot_left.png</x:v>
      </x:c>
      <x:c r="B89" s="38" t="str">
        <x:v>NMV2_ABN_N02_02</x:v>
      </x:c>
      <x:c r="C89" s="38" t="str">
        <x:v>远侧后足</x:v>
      </x:c>
      <x:c r="D89" s="38" t="str">
        <x:f>"【交付文件】"&amp;A89&amp;CHAR(10)&amp;"【本张任务】"&amp;C89&amp;CHAR(10)&amp;'生成规范'!$B$8&amp;CHAR(10)&amp;"【单张范围】"&amp;E89&amp;CHAR(10)&amp;"【本组造型约束】"&amp;INDEX('素材需求'!$F$8:$F$119,MATCH(B89,'素材需求'!$A$8:$A$119,0))&amp;CHAR(10)&amp;"【参考对象】"&amp;F89&amp;CHAR(10)&amp;"【制作规格】"&amp;I89&amp;"；"&amp;INDEX('素材需求'!$M$8:$M$119,MATCH(B89,'素材需求'!$A$8:$A$119,0))&amp;CHAR(10)&amp;"【颜色】"&amp;'生成规范'!$B$10&amp;"；"&amp;'生成规范'!$B$11&amp;CHAR(10)&amp;"【输出规则】"&amp;'生成规范'!$B$12&amp;" 后处理对齐尺寸与轴点；交付用途："&amp;H89&amp;CHAR(10)&amp;"【禁止项】"&amp;'生成规范'!$B$9&amp;"；"&amp;INDEX('素材需求'!$N$8:$N$119,MATCH(B89,'素材需求'!$A$8:$A$119,0))</x:f>
        <x:v>【交付文件】nm_v2_abn_maodie_base_parts_hind_foot_left.png
【本张任务】远侧后足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【单张范围】只画本张：远侧后腿与足一体短部件，足底可落地，无躯干；单一交付对象/姿势，不含其他零件、对照姿势、sheet、文字、背景或地面投影。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旧ABN_N02_04的失效长肢与恐怖头不再使用；常态8件复用到失效，只增加1张情绪脸层。耳、尾与正常短肢负责轮廓，不靠拉长肢体区分状态。 每张只画units当前部件，头部/脸层分离，不能把组内完整角色或其他部件带入本张。
【参考对象】暖灰短毛猫的三角耳、圆角方脸与翘尾；结合情绪表情包里不耐烦、震惊、气鼓鼓的眉眼，使用简洁扁平色块和脏粉耳内色。 以NMV2_ABN_N02_01的新常态定稿核对轮廓与配色。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89" s="38" t="str">
        <x:v>只画本张：远侧后腿与足一体短部件，足底可落地，无躯干；单一交付对象/姿势，不含其他零件、对照姿势、sheet、文字、背景或地面投影。</x:v>
      </x:c>
      <x:c r="F89" s="38" t="str">
        <x:f>INDEX('素材需求'!$G$8:$G$119,MATCH(B89,'素材需求'!$A$8:$A$119,0))</x:f>
        <x:v>暖灰短毛猫的三角耳、圆角方脸与翘尾；结合情绪表情包里不耐烦、震惊、气鼓鼓的眉眼，使用简洁扁平色块和脏粉耳内色。 以NMV2_ABN_N02_01的新常态定稿核对轮廓与配色。</x:v>
      </x:c>
      <x:c r="G89" s="38" t="str">
        <x:f>INDEX('素材需求'!$B$8:$B$119,MATCH(B89,'素材需求'!$A$8:$A$119,0))</x:f>
        <x:v>P0常态</x:v>
      </x:c>
      <x:c r="H89" s="38" t="str">
        <x:v>游戏拆件／贴图</x:v>
      </x:c>
      <x:c r="I8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89" s="38" t="str">
        <x:v>art_delivery/nm_v2/abnormalities/</x:v>
      </x:c>
      <x:c r="K89" s="45" t="str">
        <x:v>待生成</x:v>
      </x:c>
      <x:c r="L89" s="38" t="str">
        <x:v>hind_foot_left</x:v>
      </x:c>
    </x:row>
    <x:row r="90" ht="300" customHeight="1">
      <x:c r="A90" s="37" t="str">
        <x:f>INDEX('素材需求'!$D$8:$D$119,MATCH(B90,'素材需求'!$A$8:$A$119,0))&amp;IF(L90="","","_"&amp;L90)&amp;".png"</x:f>
        <x:v>nm_v2_abn_maodie_base_parts_hind_foot_right.png</x:v>
      </x:c>
      <x:c r="B90" s="37" t="str">
        <x:v>NMV2_ABN_N02_02</x:v>
      </x:c>
      <x:c r="C90" s="37" t="str">
        <x:v>近侧后足</x:v>
      </x:c>
      <x:c r="D90" s="37" t="str">
        <x:f>"【交付文件】"&amp;A90&amp;CHAR(10)&amp;"【本张任务】"&amp;C90&amp;CHAR(10)&amp;'生成规范'!$B$8&amp;CHAR(10)&amp;"【单张范围】"&amp;E90&amp;CHAR(10)&amp;"【本组造型约束】"&amp;INDEX('素材需求'!$F$8:$F$119,MATCH(B90,'素材需求'!$A$8:$A$119,0))&amp;CHAR(10)&amp;"【参考对象】"&amp;F90&amp;CHAR(10)&amp;"【制作规格】"&amp;I90&amp;"；"&amp;INDEX('素材需求'!$M$8:$M$119,MATCH(B90,'素材需求'!$A$8:$A$119,0))&amp;CHAR(10)&amp;"【颜色】"&amp;'生成规范'!$B$10&amp;"；"&amp;'生成规范'!$B$11&amp;CHAR(10)&amp;"【输出规则】"&amp;'生成规范'!$B$12&amp;" 后处理对齐尺寸与轴点；交付用途："&amp;H90&amp;CHAR(10)&amp;"【禁止项】"&amp;'生成规范'!$B$9&amp;"；"&amp;INDEX('素材需求'!$N$8:$N$119,MATCH(B90,'素材需求'!$A$8:$A$119,0))</x:f>
        <x:v>【交付文件】nm_v2_abn_maodie_base_parts_hind_foot_right.png
【本张任务】近侧后足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【单张范围】只画本张：近侧后腿与足一体短部件，足底可落地，无躯干；单一交付对象/姿势，不含其他零件、对照姿势、sheet、文字、背景或地面投影。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旧ABN_N02_04的失效长肢与恐怖头不再使用；常态8件复用到失效，只增加1张情绪脸层。耳、尾与正常短肢负责轮廓，不靠拉长肢体区分状态。 每张只画units当前部件，头部/脸层分离，不能把组内完整角色或其他部件带入本张。
【参考对象】暖灰短毛猫的三角耳、圆角方脸与翘尾；结合情绪表情包里不耐烦、震惊、气鼓鼓的眉眼，使用简洁扁平色块和脏粉耳内色。 以NMV2_ABN_N02_01的新常态定稿核对轮廓与配色。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90" s="37" t="str">
        <x:v>只画本张：近侧后腿与足一体短部件，足底可落地，无躯干；单一交付对象/姿势，不含其他零件、对照姿势、sheet、文字、背景或地面投影。</x:v>
      </x:c>
      <x:c r="F90" s="37" t="str">
        <x:f>INDEX('素材需求'!$G$8:$G$119,MATCH(B90,'素材需求'!$A$8:$A$119,0))</x:f>
        <x:v>暖灰短毛猫的三角耳、圆角方脸与翘尾；结合情绪表情包里不耐烦、震惊、气鼓鼓的眉眼，使用简洁扁平色块和脏粉耳内色。 以NMV2_ABN_N02_01的新常态定稿核对轮廓与配色。</x:v>
      </x:c>
      <x:c r="G90" s="37" t="str">
        <x:f>INDEX('素材需求'!$B$8:$B$119,MATCH(B90,'素材需求'!$A$8:$A$119,0))</x:f>
        <x:v>P0常态</x:v>
      </x:c>
      <x:c r="H90" s="37" t="str">
        <x:v>游戏拆件／贴图</x:v>
      </x:c>
      <x:c r="I9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90" s="37" t="str">
        <x:v>art_delivery/nm_v2/abnormalities/</x:v>
      </x:c>
      <x:c r="K90" s="45" t="str">
        <x:v>待生成</x:v>
      </x:c>
      <x:c r="L90" s="37" t="str">
        <x:v>hind_foot_right</x:v>
      </x:c>
    </x:row>
    <x:row r="91" ht="300" customHeight="1">
      <x:c r="A91" s="38" t="str">
        <x:f>INDEX('素材需求'!$D$8:$D$119,MATCH(B91,'素材需求'!$A$8:$A$119,0))&amp;IF(L91="","","_"&amp;L91)&amp;".png"</x:f>
        <x:v>nm_v2_abn_maodie_base_parts_tail.png</x:v>
      </x:c>
      <x:c r="B91" s="38" t="str">
        <x:v>NMV2_ABN_N02_02</x:v>
      </x:c>
      <x:c r="C91" s="38" t="str">
        <x:v>弯尾</x:v>
      </x:c>
      <x:c r="D91" s="38" t="str">
        <x:f>"【交付文件】"&amp;A91&amp;CHAR(10)&amp;"【本张任务】"&amp;C91&amp;CHAR(10)&amp;'生成规范'!$B$8&amp;CHAR(10)&amp;"【单张范围】"&amp;E91&amp;CHAR(10)&amp;"【本组造型约束】"&amp;INDEX('素材需求'!$F$8:$F$119,MATCH(B91,'素材需求'!$A$8:$A$119,0))&amp;CHAR(10)&amp;"【参考对象】"&amp;F91&amp;CHAR(10)&amp;"【制作规格】"&amp;I91&amp;"；"&amp;INDEX('素材需求'!$M$8:$M$119,MATCH(B91,'素材需求'!$A$8:$A$119,0))&amp;CHAR(10)&amp;"【颜色】"&amp;'生成规范'!$B$10&amp;"；"&amp;'生成规范'!$B$11&amp;CHAR(10)&amp;"【输出规则】"&amp;'生成规范'!$B$12&amp;" 后处理对齐尺寸与轴点；交付用途："&amp;H91&amp;CHAR(10)&amp;"【禁止项】"&amp;'生成规范'!$B$9&amp;"；"&amp;INDEX('素材需求'!$N$8:$N$119,MATCH(B91,'素材需求'!$A$8:$A$119,0))</x:f>
        <x:v>【交付文件】nm_v2_abn_maodie_base_parts_tail.png
【本张任务】弯尾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【单张范围】只画本张：一条可转动的暖灰猫尾，尾根接合明确，无身体；单一交付对象/姿势，不含其他零件、对照姿势、sheet、文字、背景或地面投影。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旧ABN_N02_04的失效长肢与恐怖头不再使用；常态8件复用到失效，只增加1张情绪脸层。耳、尾与正常短肢负责轮廓，不靠拉长肢体区分状态。 每张只画units当前部件，头部/脸层分离，不能把组内完整角色或其他部件带入本张。
【参考对象】暖灰短毛猫的三角耳、圆角方脸与翘尾；结合情绪表情包里不耐烦、震惊、气鼓鼓的眉眼，使用简洁扁平色块和脏粉耳内色。 以NMV2_ABN_N02_01的新常态定稿核对轮廓与配色。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91" s="38" t="str">
        <x:v>只画本张：一条可转动的暖灰猫尾，尾根接合明确，无身体；单一交付对象/姿势，不含其他零件、对照姿势、sheet、文字、背景或地面投影。</x:v>
      </x:c>
      <x:c r="F91" s="38" t="str">
        <x:f>INDEX('素材需求'!$G$8:$G$119,MATCH(B91,'素材需求'!$A$8:$A$119,0))</x:f>
        <x:v>暖灰短毛猫的三角耳、圆角方脸与翘尾；结合情绪表情包里不耐烦、震惊、气鼓鼓的眉眼，使用简洁扁平色块和脏粉耳内色。 以NMV2_ABN_N02_01的新常态定稿核对轮廓与配色。</x:v>
      </x:c>
      <x:c r="G91" s="38" t="str">
        <x:f>INDEX('素材需求'!$B$8:$B$119,MATCH(B91,'素材需求'!$A$8:$A$119,0))</x:f>
        <x:v>P0常态</x:v>
      </x:c>
      <x:c r="H91" s="38" t="str">
        <x:v>游戏拆件／贴图</x:v>
      </x:c>
      <x:c r="I9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91" s="38" t="str">
        <x:v>art_delivery/nm_v2/abnormalities/</x:v>
      </x:c>
      <x:c r="K91" s="45" t="str">
        <x:v>待生成</x:v>
      </x:c>
      <x:c r="L91" s="38" t="str">
        <x:v>tail</x:v>
      </x:c>
    </x:row>
    <x:row r="92" ht="328.5" customHeight="1">
      <x:c r="A92" s="37" t="str">
        <x:f>INDEX('素材需求'!$D$8:$D$119,MATCH(B92,'素材需求'!$A$8:$A$119,0))&amp;IF(L92="","","_"&amp;L92)&amp;".png"</x:f>
        <x:v>nm_v2_abn_maodie_work_reference_watch.png</x:v>
      </x:c>
      <x:c r="B92" s="37" t="str">
        <x:v>NMV2_ABN_N02_03</x:v>
      </x:c>
      <x:c r="C92" s="37" t="str">
        <x:v>警觉观察回应</x:v>
      </x:c>
      <x:c r="D92" s="37" t="str">
        <x:f>"【交付文件】"&amp;A92&amp;CHAR(10)&amp;"【本张任务】"&amp;C92&amp;CHAR(10)&amp;'生成规范'!$B$8&amp;CHAR(10)&amp;"【单张范围】"&amp;E92&amp;CHAR(10)&amp;"【本组造型约束】"&amp;INDEX('素材需求'!$F$8:$F$119,MATCH(B92,'素材需求'!$A$8:$A$119,0))&amp;CHAR(10)&amp;"【参考对象】"&amp;F92&amp;CHAR(10)&amp;"【制作规格】"&amp;I92&amp;"；"&amp;INDEX('素材需求'!$M$8:$M$119,MATCH(B92,'素材需求'!$A$8:$A$119,0))&amp;CHAR(10)&amp;"【颜色】"&amp;'生成规范'!$B$10&amp;"；"&amp;'生成规范'!$B$11&amp;CHAR(10)&amp;"【输出规则】"&amp;'生成规范'!$B$12&amp;" 后处理对齐尺寸与轴点；交付用途："&amp;H92&amp;CHAR(10)&amp;"【禁止项】"&amp;'生成规范'!$B$9&amp;"；"&amp;INDEX('素材需求'!$N$8:$N$119,MATCH(B92,'素材需求'!$A$8:$A$119,0))</x:f>
        <x:v>【交付文件】nm_v2_abn_maodie_work_reference_watch.png
【本张任务】警觉观察回应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【单张范围】只画本张：一只完整常态耄耋略抬头看向员工，尾巴弯曲，眼神不耐烦但身体没有攻击动作；单一交付对象/姿势，不含其他零件、对照姿势、sheet、文字、背景或地面投影。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【参考对象】暖灰短毛猫的三角耳、圆角方脸与翘尾；结合情绪表情包里不耐烦、震惊、气鼓鼓的眉眼，使用简洁扁平色块和脏粉耳内色。 参考温和的观察、回应或安抚互动；沿用NMV2_ABN_N02_01新造型，不画员工同框。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92" s="37" t="str">
        <x:v>只画本张：一只完整常态耄耋略抬头看向员工，尾巴弯曲，眼神不耐烦但身体没有攻击动作；单一交付对象/姿势，不含其他零件、对照姿势、sheet、文字、背景或地面投影。</x:v>
      </x:c>
      <x:c r="F92" s="37" t="str">
        <x:f>INDEX('素材需求'!$G$8:$G$119,MATCH(B92,'素材需求'!$A$8:$A$119,0))</x:f>
        <x:v>暖灰短毛猫的三角耳、圆角方脸与翘尾；结合情绪表情包里不耐烦、震惊、气鼓鼓的眉眼，使用简洁扁平色块和脏粉耳内色。 参考温和的观察、回应或安抚互动；沿用NMV2_ABN_N02_01新造型，不画员工同框。</x:v>
      </x:c>
      <x:c r="G92" s="37" t="str">
        <x:f>INDEX('素材需求'!$B$8:$B$119,MATCH(B92,'素材需求'!$A$8:$A$119,0))</x:f>
        <x:v>P0常态</x:v>
      </x:c>
      <x:c r="H92" s="37" t="str">
        <x:v>定稿／动作参考</x:v>
      </x:c>
      <x:c r="I9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92" s="37" t="str">
        <x:v>art_delivery/nm_v2/references/</x:v>
      </x:c>
      <x:c r="K92" s="45" t="str">
        <x:v>待生成</x:v>
      </x:c>
      <x:c r="L92" s="37" t="str">
        <x:v>watch</x:v>
      </x:c>
    </x:row>
    <x:row r="93" ht="328.5" customHeight="1">
      <x:c r="A93" s="38" t="str">
        <x:f>INDEX('素材需求'!$D$8:$D$119,MATCH(B93,'素材需求'!$A$8:$A$119,0))&amp;IF(L93="","","_"&amp;L93)&amp;".png"</x:f>
        <x:v>nm_v2_abn_maodie_work_reference_settle.png</x:v>
      </x:c>
      <x:c r="B93" s="38" t="str">
        <x:v>NMV2_ABN_N02_03</x:v>
      </x:c>
      <x:c r="C93" s="38" t="str">
        <x:v>短暂平静回应</x:v>
      </x:c>
      <x:c r="D93" s="38" t="str">
        <x:f>"【交付文件】"&amp;A93&amp;CHAR(10)&amp;"【本张任务】"&amp;C93&amp;CHAR(10)&amp;'生成规范'!$B$8&amp;CHAR(10)&amp;"【单张范围】"&amp;E93&amp;CHAR(10)&amp;"【本组造型约束】"&amp;INDEX('素材需求'!$F$8:$F$119,MATCH(B93,'素材需求'!$A$8:$A$119,0))&amp;CHAR(10)&amp;"【参考对象】"&amp;F93&amp;CHAR(10)&amp;"【制作规格】"&amp;I93&amp;"；"&amp;INDEX('素材需求'!$M$8:$M$119,MATCH(B93,'素材需求'!$A$8:$A$119,0))&amp;CHAR(10)&amp;"【颜色】"&amp;'生成规范'!$B$10&amp;"；"&amp;'生成规范'!$B$11&amp;CHAR(10)&amp;"【输出规则】"&amp;'生成规范'!$B$12&amp;" 后处理对齐尺寸与轴点；交付用途："&amp;H93&amp;CHAR(10)&amp;"【禁止项】"&amp;'生成规范'!$B$9&amp;"；"&amp;INDEX('素材需求'!$N$8:$N$119,MATCH(B93,'素材需求'!$A$8:$A$119,0))</x:f>
        <x:v>【交付文件】nm_v2_abn_maodie_work_reference_settle.png
【本张任务】短暂平静回应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【单张范围】只画本张：一只完整常态耄耋放松一只前爪，眉眼柔和一点，姿态可用于安抚工作后的短反馈；单一交付对象/姿势，不含其他零件、对照姿势、sheet、文字、背景或地面投影。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【参考对象】暖灰短毛猫的三角耳、圆角方脸与翘尾；结合情绪表情包里不耐烦、震惊、气鼓鼓的眉眼，使用简洁扁平色块和脏粉耳内色。 参考温和的观察、回应或安抚互动；沿用NMV2_ABN_N02_01新造型，不画员工同框。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93" s="38" t="str">
        <x:v>只画本张：一只完整常态耄耋放松一只前爪，眉眼柔和一点，姿态可用于安抚工作后的短反馈；单一交付对象/姿势，不含其他零件、对照姿势、sheet、文字、背景或地面投影。</x:v>
      </x:c>
      <x:c r="F93" s="38" t="str">
        <x:f>INDEX('素材需求'!$G$8:$G$119,MATCH(B93,'素材需求'!$A$8:$A$119,0))</x:f>
        <x:v>暖灰短毛猫的三角耳、圆角方脸与翘尾；结合情绪表情包里不耐烦、震惊、气鼓鼓的眉眼，使用简洁扁平色块和脏粉耳内色。 参考温和的观察、回应或安抚互动；沿用NMV2_ABN_N02_01新造型，不画员工同框。</x:v>
      </x:c>
      <x:c r="G93" s="38" t="str">
        <x:f>INDEX('素材需求'!$B$8:$B$119,MATCH(B93,'素材需求'!$A$8:$A$119,0))</x:f>
        <x:v>P0常态</x:v>
      </x:c>
      <x:c r="H93" s="38" t="str">
        <x:v>定稿／动作参考</x:v>
      </x:c>
      <x:c r="I9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93" s="38" t="str">
        <x:v>art_delivery/nm_v2/references/</x:v>
      </x:c>
      <x:c r="K93" s="45" t="str">
        <x:v>待生成</x:v>
      </x:c>
      <x:c r="L93" s="38" t="str">
        <x:v>settle</x:v>
      </x:c>
    </x:row>
    <x:row r="94" ht="314.25" customHeight="1">
      <x:c r="A94" s="37" t="str">
        <x:f>INDEX('素材需求'!$D$8:$D$119,MATCH(B94,'素材需求'!$A$8:$A$119,0))&amp;IF(L94="","","_"&amp;L94)&amp;".png"</x:f>
        <x:v>nm_v2_abn_big_dog_calm_identity_approved.png</x:v>
      </x:c>
      <x:c r="B94" s="37" t="str">
        <x:v>NMV2_ABN_N03_01</x:v>
      </x:c>
      <x:c r="C94" s="37" t="str">
        <x:v>常态完整形象</x:v>
      </x:c>
      <x:c r="D94" s="37" t="str">
        <x:f>"【交付文件】"&amp;A94&amp;CHAR(10)&amp;"【本张任务】"&amp;C94&amp;CHAR(10)&amp;'生成规范'!$B$8&amp;CHAR(10)&amp;"【单张范围】"&amp;E94&amp;CHAR(10)&amp;"【本组造型约束】"&amp;INDEX('素材需求'!$F$8:$F$119,MATCH(B94,'素材需求'!$A$8:$A$119,0))&amp;CHAR(10)&amp;"【参考对象】"&amp;F94&amp;CHAR(10)&amp;"【制作规格】"&amp;I94&amp;"；"&amp;INDEX('素材需求'!$M$8:$M$119,MATCH(B94,'素材需求'!$A$8:$A$119,0))&amp;CHAR(10)&amp;"【颜色】"&amp;'生成规范'!$B$10&amp;"；"&amp;'生成规范'!$B$11&amp;CHAR(10)&amp;"【输出规则】"&amp;'生成规范'!$B$12&amp;" 后处理对齐尺寸与轴点；交付用途："&amp;H94&amp;CHAR(10)&amp;"【禁止项】"&amp;'生成规范'!$B$9&amp;"；"&amp;INDEX('素材需求'!$N$8:$N$119,MATCH(B94,'素材需求'!$A$8:$A$119,0))</x:f>
        <x:v>【交付文件】nm_v2_abn_big_dog_calm_identity_approved.png
【本张任务】常态完整形象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的大狗常态形象，朝右自然待机；红橙主色、粉白口鼻胸腹的大体量友好犬，宽头、圆钝口鼻、正常眼睛、舒适垂耳、正常四足和尾巴；嘴部可动但不能扩成恐怖巨口，外部真透明不保留棕色晕影。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常态不绘失效气泡、花屏或警报。
【参考对象】友好大型垂耳犬、红橙配粉白的现代吉祥物造型；宽圆口鼻和摇尾轮廓，参考直播应援的高兴表情，不参考张裂巨口或阴森犬兽。 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94" s="37" t="str">
        <x:v>只画本张：一只完整的大狗常态形象，朝右自然待机；红橙主色、粉白口鼻胸腹的大体量友好犬，宽头、圆钝口鼻、正常眼睛、舒适垂耳、正常四足和尾巴；嘴部可动但不能扩成恐怖巨口，外部真透明不保留棕色晕影。；单一交付对象/姿势，不含其他零件、对照姿势、sheet、文字、背景或地面投影。</x:v>
      </x:c>
      <x:c r="F94" s="37" t="str">
        <x:f>INDEX('素材需求'!$G$8:$G$119,MATCH(B94,'素材需求'!$A$8:$A$119,0))</x:f>
        <x:v>友好大型垂耳犬、红橙配粉白的现代吉祥物造型；宽圆口鼻和摇尾轮廓，参考直播应援的高兴表情，不参考张裂巨口或阴森犬兽。 </x:v>
      </x:c>
      <x:c r="G94" s="37" t="str">
        <x:f>INDEX('素材需求'!$B$8:$B$119,MATCH(B94,'素材需求'!$A$8:$A$119,0))</x:f>
        <x:v>P0常态</x:v>
      </x:c>
      <x:c r="H94" s="37" t="str">
        <x:v>定稿／动作参考</x:v>
      </x:c>
      <x:c r="I94" s="37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94" s="37" t="str">
        <x:v>art_delivery/nm_v2/references/</x:v>
      </x:c>
      <x:c r="K94" s="45" t="str">
        <x:v>待生成</x:v>
      </x:c>
      <x:c r="L94" s="37" t="str">
        <x:v>approved</x:v>
      </x:c>
    </x:row>
    <x:row r="95" ht="300" customHeight="1">
      <x:c r="A95" s="38" t="str">
        <x:f>INDEX('素材需求'!$D$8:$D$119,MATCH(B95,'素材需求'!$A$8:$A$119,0))&amp;IF(L95="","","_"&amp;L95)&amp;".png"</x:f>
        <x:v>nm_v2_abn_big_dog_base_parts_body.png</x:v>
      </x:c>
      <x:c r="B95" s="38" t="str">
        <x:v>NMV2_ABN_N03_02</x:v>
      </x:c>
      <x:c r="C95" s="38" t="str">
        <x:v>大体量躯干</x:v>
      </x:c>
      <x:c r="D95" s="38" t="str">
        <x:f>"【交付文件】"&amp;A95&amp;CHAR(10)&amp;"【本张任务】"&amp;C95&amp;CHAR(10)&amp;'生成规范'!$B$8&amp;CHAR(10)&amp;"【单张范围】"&amp;E95&amp;CHAR(10)&amp;"【本组造型约束】"&amp;INDEX('素材需求'!$F$8:$F$119,MATCH(B95,'素材需求'!$A$8:$A$119,0))&amp;CHAR(10)&amp;"【参考对象】"&amp;F95&amp;CHAR(10)&amp;"【制作规格】"&amp;I95&amp;"；"&amp;INDEX('素材需求'!$M$8:$M$119,MATCH(B95,'素材需求'!$A$8:$A$119,0))&amp;CHAR(10)&amp;"【颜色】"&amp;'生成规范'!$B$10&amp;"；"&amp;'生成规范'!$B$11&amp;CHAR(10)&amp;"【输出规则】"&amp;'生成规范'!$B$12&amp;" 后处理对齐尺寸与轴点；交付用途："&amp;H95&amp;CHAR(10)&amp;"【禁止项】"&amp;'生成规范'!$B$9&amp;"；"&amp;INDEX('素材需求'!$N$8:$N$119,MATCH(B95,'素材需求'!$A$8:$A$119,0))</x:f>
        <x:v>【交付文件】nm_v2_abn_big_dog_base_parts_body.png
【本张任务】大体量躯干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【单张范围】只画本张：红橙犬躯干与粉白胸腹，留颈根和腿根余量，无头、腿或尾；单一交付对象/姿势，不含其他零件、对照姿势、sheet、文字、背景或地面投影。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沿用旧ABN_N03_04十件的功能槽数，重新画干净常态犬体；上下口鼻保留正常尺度，新增1张兴奋眼层替换眼睛。原图棕雾/背景不继承。 每张只画units当前部件，头部/脸层分离，不能把组内完整角色或其他部件带入本张。
【参考对象】友好大型垂耳犬、红橙配粉白的现代吉祥物造型；宽圆口鼻和摇尾轮廓，参考直播应援的高兴表情，不参考张裂巨口或阴森犬兽。 以NMV2_ABN_N03_01的新常态定稿核对轮廓与配色。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95" s="38" t="str">
        <x:v>只画本张：红橙犬躯干与粉白胸腹，留颈根和腿根余量，无头、腿或尾；单一交付对象/姿势，不含其他零件、对照姿势、sheet、文字、背景或地面投影。</x:v>
      </x:c>
      <x:c r="F95" s="38" t="str">
        <x:f>INDEX('素材需求'!$G$8:$G$119,MATCH(B95,'素材需求'!$A$8:$A$119,0))</x:f>
        <x:v>友好大型垂耳犬、红橙配粉白的现代吉祥物造型；宽圆口鼻和摇尾轮廓，参考直播应援的高兴表情，不参考张裂巨口或阴森犬兽。 以NMV2_ABN_N03_01的新常态定稿核对轮廓与配色。</x:v>
      </x:c>
      <x:c r="G95" s="38" t="str">
        <x:f>INDEX('素材需求'!$B$8:$B$119,MATCH(B95,'素材需求'!$A$8:$A$119,0))</x:f>
        <x:v>P0常态</x:v>
      </x:c>
      <x:c r="H95" s="38" t="str">
        <x:v>游戏拆件／贴图</x:v>
      </x:c>
      <x:c r="I95" s="38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95" s="38" t="str">
        <x:v>art_delivery/nm_v2/abnormalities/</x:v>
      </x:c>
      <x:c r="K95" s="45" t="str">
        <x:v>待生成</x:v>
      </x:c>
      <x:c r="L95" s="38" t="str">
        <x:v>body</x:v>
      </x:c>
    </x:row>
    <x:row r="96" ht="300" customHeight="1">
      <x:c r="A96" s="37" t="str">
        <x:f>INDEX('素材需求'!$D$8:$D$119,MATCH(B96,'素材需求'!$A$8:$A$119,0))&amp;IF(L96="","","_"&amp;L96)&amp;".png"</x:f>
        <x:v>nm_v2_abn_big_dog_base_parts_head_ears.png</x:v>
      </x:c>
      <x:c r="B96" s="37" t="str">
        <x:v>NMV2_ABN_N03_02</x:v>
      </x:c>
      <x:c r="C96" s="37" t="str">
        <x:v>头与垂耳</x:v>
      </x:c>
      <x:c r="D96" s="37" t="str">
        <x:f>"【交付文件】"&amp;A96&amp;CHAR(10)&amp;"【本张任务】"&amp;C96&amp;CHAR(10)&amp;'生成规范'!$B$8&amp;CHAR(10)&amp;"【单张范围】"&amp;E96&amp;CHAR(10)&amp;"【本组造型约束】"&amp;INDEX('素材需求'!$F$8:$F$119,MATCH(B96,'素材需求'!$A$8:$A$119,0))&amp;CHAR(10)&amp;"【参考对象】"&amp;F96&amp;CHAR(10)&amp;"【制作规格】"&amp;I96&amp;"；"&amp;INDEX('素材需求'!$M$8:$M$119,MATCH(B96,'素材需求'!$A$8:$A$119,0))&amp;CHAR(10)&amp;"【颜色】"&amp;'生成规范'!$B$10&amp;"；"&amp;'生成规范'!$B$11&amp;CHAR(10)&amp;"【输出规则】"&amp;'生成规范'!$B$12&amp;" 后处理对齐尺寸与轴点；交付用途："&amp;H96&amp;CHAR(10)&amp;"【禁止项】"&amp;'生成规范'!$B$9&amp;"；"&amp;INDEX('素材需求'!$N$8:$N$119,MATCH(B96,'素材需求'!$A$8:$A$119,0))</x:f>
        <x:v>【交付文件】nm_v2_abn_big_dog_base_parts_head_ears.png
【本张任务】头与垂耳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【单张范围】只画本张：宽圆犬头和正常垂耳一体，留空眼区及口鼻铰接区，无眼、上下口鼻或身体；单一交付对象/姿势，不含其他零件、对照姿势、sheet、文字、背景或地面投影。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沿用旧ABN_N03_04十件的功能槽数，重新画干净常态犬体；上下口鼻保留正常尺度，新增1张兴奋眼层替换眼睛。原图棕雾/背景不继承。 每张只画units当前部件，头部/脸层分离，不能把组内完整角色或其他部件带入本张。
【参考对象】友好大型垂耳犬、红橙配粉白的现代吉祥物造型；宽圆口鼻和摇尾轮廓，参考直播应援的高兴表情，不参考张裂巨口或阴森犬兽。 以NMV2_ABN_N03_01的新常态定稿核对轮廓与配色。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96" s="37" t="str">
        <x:v>只画本张：宽圆犬头和正常垂耳一体，留空眼区及口鼻铰接区，无眼、上下口鼻或身体；单一交付对象/姿势，不含其他零件、对照姿势、sheet、文字、背景或地面投影。</x:v>
      </x:c>
      <x:c r="F96" s="37" t="str">
        <x:f>INDEX('素材需求'!$G$8:$G$119,MATCH(B96,'素材需求'!$A$8:$A$119,0))</x:f>
        <x:v>友好大型垂耳犬、红橙配粉白的现代吉祥物造型；宽圆口鼻和摇尾轮廓，参考直播应援的高兴表情，不参考张裂巨口或阴森犬兽。 以NMV2_ABN_N03_01的新常态定稿核对轮廓与配色。</x:v>
      </x:c>
      <x:c r="G96" s="37" t="str">
        <x:f>INDEX('素材需求'!$B$8:$B$119,MATCH(B96,'素材需求'!$A$8:$A$119,0))</x:f>
        <x:v>P0常态</x:v>
      </x:c>
      <x:c r="H96" s="37" t="str">
        <x:v>游戏拆件／贴图</x:v>
      </x:c>
      <x:c r="I96" s="37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96" s="37" t="str">
        <x:v>art_delivery/nm_v2/abnormalities/</x:v>
      </x:c>
      <x:c r="K96" s="45" t="str">
        <x:v>待生成</x:v>
      </x:c>
      <x:c r="L96" s="37" t="str">
        <x:v>head_ears</x:v>
      </x:c>
    </x:row>
    <x:row r="97" ht="300" customHeight="1">
      <x:c r="A97" s="38" t="str">
        <x:f>INDEX('素材需求'!$D$8:$D$119,MATCH(B97,'素材需求'!$A$8:$A$119,0))&amp;IF(L97="","","_"&amp;L97)&amp;".png"</x:f>
        <x:v>nm_v2_abn_big_dog_base_parts_eyes.png</x:v>
      </x:c>
      <x:c r="B97" s="38" t="str">
        <x:v>NMV2_ABN_N03_02</x:v>
      </x:c>
      <x:c r="C97" s="38" t="str">
        <x:v>常态眼层</x:v>
      </x:c>
      <x:c r="D97" s="38" t="str">
        <x:f>"【交付文件】"&amp;A97&amp;CHAR(10)&amp;"【本张任务】"&amp;C97&amp;CHAR(10)&amp;'生成规范'!$B$8&amp;CHAR(10)&amp;"【单张范围】"&amp;E97&amp;CHAR(10)&amp;"【本组造型约束】"&amp;INDEX('素材需求'!$F$8:$F$119,MATCH(B97,'素材需求'!$A$8:$A$119,0))&amp;CHAR(10)&amp;"【参考对象】"&amp;F97&amp;CHAR(10)&amp;"【制作规格】"&amp;I97&amp;"；"&amp;INDEX('素材需求'!$M$8:$M$119,MATCH(B97,'素材需求'!$A$8:$A$119,0))&amp;CHAR(10)&amp;"【颜色】"&amp;'生成规范'!$B$10&amp;"；"&amp;'生成规范'!$B$11&amp;CHAR(10)&amp;"【输出规则】"&amp;'生成规范'!$B$12&amp;" 后处理对齐尺寸与轴点；交付用途："&amp;H97&amp;CHAR(10)&amp;"【禁止项】"&amp;'生成规范'!$B$9&amp;"；"&amp;INDEX('素材需求'!$N$8:$N$119,MATCH(B97,'素材需求'!$A$8:$A$119,0))</x:f>
        <x:v>【交付文件】nm_v2_abn_big_dog_base_parts_eyes.png
【本张任务】常态眼层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【单张范围】只画本张：一对有神友好犬眼和简洁眉线，透明底，无头部底色或嘴；单一交付对象/姿势，不含其他零件、对照姿势、sheet、文字、背景或地面投影。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沿用旧ABN_N03_04十件的功能槽数，重新画干净常态犬体；上下口鼻保留正常尺度，新增1张兴奋眼层替换眼睛。原图棕雾/背景不继承。 每张只画units当前部件，头部/脸层分离，不能把组内完整角色或其他部件带入本张。
【参考对象】友好大型垂耳犬、红橙配粉白的现代吉祥物造型；宽圆口鼻和摇尾轮廓，参考直播应援的高兴表情，不参考张裂巨口或阴森犬兽。 以NMV2_ABN_N03_01的新常态定稿核对轮廓与配色。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97" s="38" t="str">
        <x:v>只画本张：一对有神友好犬眼和简洁眉线，透明底，无头部底色或嘴；单一交付对象/姿势，不含其他零件、对照姿势、sheet、文字、背景或地面投影。</x:v>
      </x:c>
      <x:c r="F97" s="38" t="str">
        <x:f>INDEX('素材需求'!$G$8:$G$119,MATCH(B97,'素材需求'!$A$8:$A$119,0))</x:f>
        <x:v>友好大型垂耳犬、红橙配粉白的现代吉祥物造型；宽圆口鼻和摇尾轮廓，参考直播应援的高兴表情，不参考张裂巨口或阴森犬兽。 以NMV2_ABN_N03_01的新常态定稿核对轮廓与配色。</x:v>
      </x:c>
      <x:c r="G97" s="38" t="str">
        <x:f>INDEX('素材需求'!$B$8:$B$119,MATCH(B97,'素材需求'!$A$8:$A$119,0))</x:f>
        <x:v>P0常态</x:v>
      </x:c>
      <x:c r="H97" s="38" t="str">
        <x:v>游戏拆件／贴图</x:v>
      </x:c>
      <x:c r="I97" s="38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97" s="38" t="str">
        <x:v>art_delivery/nm_v2/abnormalities/</x:v>
      </x:c>
      <x:c r="K97" s="45" t="str">
        <x:v>待生成</x:v>
      </x:c>
      <x:c r="L97" s="38" t="str">
        <x:v>eyes</x:v>
      </x:c>
    </x:row>
    <x:row r="98" ht="300" customHeight="1">
      <x:c r="A98" s="37" t="str">
        <x:f>INDEX('素材需求'!$D$8:$D$119,MATCH(B98,'素材需求'!$A$8:$A$119,0))&amp;IF(L98="","","_"&amp;L98)&amp;".png"</x:f>
        <x:v>nm_v2_abn_big_dog_base_parts_upper_muzzle.png</x:v>
      </x:c>
      <x:c r="B98" s="37" t="str">
        <x:v>NMV2_ABN_N03_02</x:v>
      </x:c>
      <x:c r="C98" s="37" t="str">
        <x:v>上口鼻</x:v>
      </x:c>
      <x:c r="D98" s="37" t="str">
        <x:f>"【交付文件】"&amp;A98&amp;CHAR(10)&amp;"【本张任务】"&amp;C98&amp;CHAR(10)&amp;'生成规范'!$B$8&amp;CHAR(10)&amp;"【单张范围】"&amp;E98&amp;CHAR(10)&amp;"【本组造型约束】"&amp;INDEX('素材需求'!$F$8:$F$119,MATCH(B98,'素材需求'!$A$8:$A$119,0))&amp;CHAR(10)&amp;"【参考对象】"&amp;F98&amp;CHAR(10)&amp;"【制作规格】"&amp;I98&amp;"；"&amp;INDEX('素材需求'!$M$8:$M$119,MATCH(B98,'素材需求'!$A$8:$A$119,0))&amp;CHAR(10)&amp;"【颜色】"&amp;'生成规范'!$B$10&amp;"；"&amp;'生成规范'!$B$11&amp;CHAR(10)&amp;"【输出规则】"&amp;'生成规范'!$B$12&amp;" 后处理对齐尺寸与轴点；交付用途："&amp;H98&amp;CHAR(10)&amp;"【禁止项】"&amp;'生成规范'!$B$9&amp;"；"&amp;INDEX('素材需求'!$N$8:$N$119,MATCH(B98,'素材需求'!$A$8:$A$119,0))</x:f>
        <x:v>【交付文件】nm_v2_abn_big_dog_base_parts_upper_muzzle.png
【本张任务】上口鼻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【单张范围】只画本张：正常宽度粉白上口鼻与鼻尖，嘴沿圆钝、没有獠牙，留铰接余量，无完整头；单一交付对象/姿势，不含其他零件、对照姿势、sheet、文字、背景或地面投影。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沿用旧ABN_N03_04十件的功能槽数，重新画干净常态犬体；上下口鼻保留正常尺度，新增1张兴奋眼层替换眼睛。原图棕雾/背景不继承。 每张只画units当前部件，头部/脸层分离，不能把组内完整角色或其他部件带入本张。
【参考对象】友好大型垂耳犬、红橙配粉白的现代吉祥物造型；宽圆口鼻和摇尾轮廓，参考直播应援的高兴表情，不参考张裂巨口或阴森犬兽。 以NMV2_ABN_N03_01的新常态定稿核对轮廓与配色。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98" s="37" t="str">
        <x:v>只画本张：正常宽度粉白上口鼻与鼻尖，嘴沿圆钝、没有獠牙，留铰接余量，无完整头；单一交付对象/姿势，不含其他零件、对照姿势、sheet、文字、背景或地面投影。</x:v>
      </x:c>
      <x:c r="F98" s="37" t="str">
        <x:f>INDEX('素材需求'!$G$8:$G$119,MATCH(B98,'素材需求'!$A$8:$A$119,0))</x:f>
        <x:v>友好大型垂耳犬、红橙配粉白的现代吉祥物造型；宽圆口鼻和摇尾轮廓，参考直播应援的高兴表情，不参考张裂巨口或阴森犬兽。 以NMV2_ABN_N03_01的新常态定稿核对轮廓与配色。</x:v>
      </x:c>
      <x:c r="G98" s="37" t="str">
        <x:f>INDEX('素材需求'!$B$8:$B$119,MATCH(B98,'素材需求'!$A$8:$A$119,0))</x:f>
        <x:v>P0常态</x:v>
      </x:c>
      <x:c r="H98" s="37" t="str">
        <x:v>游戏拆件／贴图</x:v>
      </x:c>
      <x:c r="I98" s="37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98" s="37" t="str">
        <x:v>art_delivery/nm_v2/abnormalities/</x:v>
      </x:c>
      <x:c r="K98" s="45" t="str">
        <x:v>待生成</x:v>
      </x:c>
      <x:c r="L98" s="37" t="str">
        <x:v>upper_muzzle</x:v>
      </x:c>
    </x:row>
    <x:row r="99" ht="300" customHeight="1">
      <x:c r="A99" s="38" t="str">
        <x:f>INDEX('素材需求'!$D$8:$D$119,MATCH(B99,'素材需求'!$A$8:$A$119,0))&amp;IF(L99="","","_"&amp;L99)&amp;".png"</x:f>
        <x:v>nm_v2_abn_big_dog_base_parts_lower_muzzle.png</x:v>
      </x:c>
      <x:c r="B99" s="38" t="str">
        <x:v>NMV2_ABN_N03_02</x:v>
      </x:c>
      <x:c r="C99" s="38" t="str">
        <x:v>下颌口鼻</x:v>
      </x:c>
      <x:c r="D99" s="38" t="str">
        <x:f>"【交付文件】"&amp;A99&amp;CHAR(10)&amp;"【本张任务】"&amp;C99&amp;CHAR(10)&amp;'生成规范'!$B$8&amp;CHAR(10)&amp;"【单张范围】"&amp;E99&amp;CHAR(10)&amp;"【本组造型约束】"&amp;INDEX('素材需求'!$F$8:$F$119,MATCH(B99,'素材需求'!$A$8:$A$119,0))&amp;CHAR(10)&amp;"【参考对象】"&amp;F99&amp;CHAR(10)&amp;"【制作规格】"&amp;I99&amp;"；"&amp;INDEX('素材需求'!$M$8:$M$119,MATCH(B99,'素材需求'!$A$8:$A$119,0))&amp;CHAR(10)&amp;"【颜色】"&amp;'生成规范'!$B$10&amp;"；"&amp;'生成规范'!$B$11&amp;CHAR(10)&amp;"【输出规则】"&amp;'生成规范'!$B$12&amp;" 后处理对齐尺寸与轴点；交付用途："&amp;H99&amp;CHAR(10)&amp;"【禁止项】"&amp;'生成规范'!$B$9&amp;"；"&amp;INDEX('素材需求'!$N$8:$N$119,MATCH(B99,'素材需求'!$A$8:$A$119,0))</x:f>
        <x:v>【交付文件】nm_v2_abn_big_dog_base_parts_lower_muzzle.png
【本张任务】下颌口鼻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【单张范围】只画本张：正常尺度粉白下颌和圆钝嘴沿，可小角度开合，无獠牙或上口鼻；单一交付对象/姿势，不含其他零件、对照姿势、sheet、文字、背景或地面投影。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沿用旧ABN_N03_04十件的功能槽数，重新画干净常态犬体；上下口鼻保留正常尺度，新增1张兴奋眼层替换眼睛。原图棕雾/背景不继承。 每张只画units当前部件，头部/脸层分离，不能把组内完整角色或其他部件带入本张。
【参考对象】友好大型垂耳犬、红橙配粉白的现代吉祥物造型；宽圆口鼻和摇尾轮廓，参考直播应援的高兴表情，不参考张裂巨口或阴森犬兽。 以NMV2_ABN_N03_01的新常态定稿核对轮廓与配色。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99" s="38" t="str">
        <x:v>只画本张：正常尺度粉白下颌和圆钝嘴沿，可小角度开合，无獠牙或上口鼻；单一交付对象/姿势，不含其他零件、对照姿势、sheet、文字、背景或地面投影。</x:v>
      </x:c>
      <x:c r="F99" s="38" t="str">
        <x:f>INDEX('素材需求'!$G$8:$G$119,MATCH(B99,'素材需求'!$A$8:$A$119,0))</x:f>
        <x:v>友好大型垂耳犬、红橙配粉白的现代吉祥物造型；宽圆口鼻和摇尾轮廓，参考直播应援的高兴表情，不参考张裂巨口或阴森犬兽。 以NMV2_ABN_N03_01的新常态定稿核对轮廓与配色。</x:v>
      </x:c>
      <x:c r="G99" s="38" t="str">
        <x:f>INDEX('素材需求'!$B$8:$B$119,MATCH(B99,'素材需求'!$A$8:$A$119,0))</x:f>
        <x:v>P0常态</x:v>
      </x:c>
      <x:c r="H99" s="38" t="str">
        <x:v>游戏拆件／贴图</x:v>
      </x:c>
      <x:c r="I99" s="38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99" s="38" t="str">
        <x:v>art_delivery/nm_v2/abnormalities/</x:v>
      </x:c>
      <x:c r="K99" s="45" t="str">
        <x:v>待生成</x:v>
      </x:c>
      <x:c r="L99" s="38" t="str">
        <x:v>lower_muzzle</x:v>
      </x:c>
    </x:row>
    <x:row r="100" ht="300" customHeight="1">
      <x:c r="A100" s="37" t="str">
        <x:f>INDEX('素材需求'!$D$8:$D$119,MATCH(B100,'素材需求'!$A$8:$A$119,0))&amp;IF(L100="","","_"&amp;L100)&amp;".png"</x:f>
        <x:v>nm_v2_abn_big_dog_base_parts_tongue.png</x:v>
      </x:c>
      <x:c r="B100" s="37" t="str">
        <x:v>NMV2_ABN_N03_02</x:v>
      </x:c>
      <x:c r="C100" s="37" t="str">
        <x:v>舌头</x:v>
      </x:c>
      <x:c r="D100" s="37" t="str">
        <x:f>"【交付文件】"&amp;A100&amp;CHAR(10)&amp;"【本张任务】"&amp;C100&amp;CHAR(10)&amp;'生成规范'!$B$8&amp;CHAR(10)&amp;"【单张范围】"&amp;E100&amp;CHAR(10)&amp;"【本组造型约束】"&amp;INDEX('素材需求'!$F$8:$F$119,MATCH(B100,'素材需求'!$A$8:$A$119,0))&amp;CHAR(10)&amp;"【参考对象】"&amp;F100&amp;CHAR(10)&amp;"【制作规格】"&amp;I100&amp;"；"&amp;INDEX('素材需求'!$M$8:$M$119,MATCH(B100,'素材需求'!$A$8:$A$119,0))&amp;CHAR(10)&amp;"【颜色】"&amp;'生成规范'!$B$10&amp;"；"&amp;'生成规范'!$B$11&amp;CHAR(10)&amp;"【输出规则】"&amp;'生成规范'!$B$12&amp;" 后处理对齐尺寸与轴点；交付用途："&amp;H100&amp;CHAR(10)&amp;"【禁止项】"&amp;'生成规范'!$B$9&amp;"；"&amp;INDEX('素材需求'!$N$8:$N$119,MATCH(B100,'素材需求'!$A$8:$A$119,0))</x:f>
        <x:v>【交付文件】nm_v2_abn_big_dog_base_parts_tongue.png
【本张任务】舌头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【单张范围】只画本张：一条自然短舌，粉红、圆端、舌根明确，无嘴或唾液；单一交付对象/姿势，不含其他零件、对照姿势、sheet、文字、背景或地面投影。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沿用旧ABN_N03_04十件的功能槽数，重新画干净常态犬体；上下口鼻保留正常尺度，新增1张兴奋眼层替换眼睛。原图棕雾/背景不继承。 每张只画units当前部件，头部/脸层分离，不能把组内完整角色或其他部件带入本张。
【参考对象】友好大型垂耳犬、红橙配粉白的现代吉祥物造型；宽圆口鼻和摇尾轮廓，参考直播应援的高兴表情，不参考张裂巨口或阴森犬兽。 以NMV2_ABN_N03_01的新常态定稿核对轮廓与配色。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00" s="37" t="str">
        <x:v>只画本张：一条自然短舌，粉红、圆端、舌根明确，无嘴或唾液；单一交付对象/姿势，不含其他零件、对照姿势、sheet、文字、背景或地面投影。</x:v>
      </x:c>
      <x:c r="F100" s="37" t="str">
        <x:f>INDEX('素材需求'!$G$8:$G$119,MATCH(B100,'素材需求'!$A$8:$A$119,0))</x:f>
        <x:v>友好大型垂耳犬、红橙配粉白的现代吉祥物造型；宽圆口鼻和摇尾轮廓，参考直播应援的高兴表情，不参考张裂巨口或阴森犬兽。 以NMV2_ABN_N03_01的新常态定稿核对轮廓与配色。</x:v>
      </x:c>
      <x:c r="G100" s="37" t="str">
        <x:f>INDEX('素材需求'!$B$8:$B$119,MATCH(B100,'素材需求'!$A$8:$A$119,0))</x:f>
        <x:v>P0常态</x:v>
      </x:c>
      <x:c r="H100" s="37" t="str">
        <x:v>游戏拆件／贴图</x:v>
      </x:c>
      <x:c r="I100" s="37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00" s="37" t="str">
        <x:v>art_delivery/nm_v2/abnormalities/</x:v>
      </x:c>
      <x:c r="K100" s="45" t="str">
        <x:v>待生成</x:v>
      </x:c>
      <x:c r="L100" s="37" t="str">
        <x:v>tongue</x:v>
      </x:c>
    </x:row>
    <x:row r="101" ht="300" customHeight="1">
      <x:c r="A101" s="38" t="str">
        <x:f>INDEX('素材需求'!$D$8:$D$119,MATCH(B101,'素材需求'!$A$8:$A$119,0))&amp;IF(L101="","","_"&amp;L101)&amp;".png"</x:f>
        <x:v>nm_v2_abn_big_dog_base_parts_front_leg.png</x:v>
      </x:c>
      <x:c r="B101" s="38" t="str">
        <x:v>NMV2_ABN_N03_02</x:v>
      </x:c>
      <x:c r="C101" s="38" t="str">
        <x:v>可复用前腿</x:v>
      </x:c>
      <x:c r="D101" s="38" t="str">
        <x:f>"【交付文件】"&amp;A101&amp;CHAR(10)&amp;"【本张任务】"&amp;C101&amp;CHAR(10)&amp;'生成规范'!$B$8&amp;CHAR(10)&amp;"【单张范围】"&amp;E101&amp;CHAR(10)&amp;"【本组造型约束】"&amp;INDEX('素材需求'!$F$8:$F$119,MATCH(B101,'素材需求'!$A$8:$A$119,0))&amp;CHAR(10)&amp;"【参考对象】"&amp;F101&amp;CHAR(10)&amp;"【制作规格】"&amp;I101&amp;"；"&amp;INDEX('素材需求'!$M$8:$M$119,MATCH(B101,'素材需求'!$A$8:$A$119,0))&amp;CHAR(10)&amp;"【颜色】"&amp;'生成规范'!$B$10&amp;"；"&amp;'生成规范'!$B$11&amp;CHAR(10)&amp;"【输出规则】"&amp;'生成规范'!$B$12&amp;" 后处理对齐尺寸与轴点；交付用途："&amp;H101&amp;CHAR(10)&amp;"【禁止项】"&amp;'生成规范'!$B$9&amp;"；"&amp;INDEX('素材需求'!$N$8:$N$119,MATCH(B101,'素材需求'!$A$8:$A$119,0))</x:f>
        <x:v>【交付文件】nm_v2_abn_big_dog_base_parts_front_leg.png
【本张任务】可复用前腿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【单张范围】只画本张：一条正常粗细犬前腿与圆足一体，腿根可接躯干，供前后层复用，无其他腿；单一交付对象/姿势，不含其他零件、对照姿势、sheet、文字、背景或地面投影。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沿用旧ABN_N03_04十件的功能槽数，重新画干净常态犬体；上下口鼻保留正常尺度，新增1张兴奋眼层替换眼睛。原图棕雾/背景不继承。 每张只画units当前部件，头部/脸层分离，不能把组内完整角色或其他部件带入本张。
【参考对象】友好大型垂耳犬、红橙配粉白的现代吉祥物造型；宽圆口鼻和摇尾轮廓，参考直播应援的高兴表情，不参考张裂巨口或阴森犬兽。 以NMV2_ABN_N03_01的新常态定稿核对轮廓与配色。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01" s="38" t="str">
        <x:v>只画本张：一条正常粗细犬前腿与圆足一体，腿根可接躯干，供前后层复用，无其他腿；单一交付对象/姿势，不含其他零件、对照姿势、sheet、文字、背景或地面投影。</x:v>
      </x:c>
      <x:c r="F101" s="38" t="str">
        <x:f>INDEX('素材需求'!$G$8:$G$119,MATCH(B101,'素材需求'!$A$8:$A$119,0))</x:f>
        <x:v>友好大型垂耳犬、红橙配粉白的现代吉祥物造型；宽圆口鼻和摇尾轮廓，参考直播应援的高兴表情，不参考张裂巨口或阴森犬兽。 以NMV2_ABN_N03_01的新常态定稿核对轮廓与配色。</x:v>
      </x:c>
      <x:c r="G101" s="38" t="str">
        <x:f>INDEX('素材需求'!$B$8:$B$119,MATCH(B101,'素材需求'!$A$8:$A$119,0))</x:f>
        <x:v>P0常态</x:v>
      </x:c>
      <x:c r="H101" s="38" t="str">
        <x:v>游戏拆件／贴图</x:v>
      </x:c>
      <x:c r="I101" s="38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01" s="38" t="str">
        <x:v>art_delivery/nm_v2/abnormalities/</x:v>
      </x:c>
      <x:c r="K101" s="45" t="str">
        <x:v>待生成</x:v>
      </x:c>
      <x:c r="L101" s="38" t="str">
        <x:v>front_leg</x:v>
      </x:c>
    </x:row>
    <x:row r="102" ht="300" customHeight="1">
      <x:c r="A102" s="37" t="str">
        <x:f>INDEX('素材需求'!$D$8:$D$119,MATCH(B102,'素材需求'!$A$8:$A$119,0))&amp;IF(L102="","","_"&amp;L102)&amp;".png"</x:f>
        <x:v>nm_v2_abn_big_dog_base_parts_hind_leg.png</x:v>
      </x:c>
      <x:c r="B102" s="37" t="str">
        <x:v>NMV2_ABN_N03_02</x:v>
      </x:c>
      <x:c r="C102" s="37" t="str">
        <x:v>可复用后腿</x:v>
      </x:c>
      <x:c r="D102" s="37" t="str">
        <x:f>"【交付文件】"&amp;A102&amp;CHAR(10)&amp;"【本张任务】"&amp;C102&amp;CHAR(10)&amp;'生成规范'!$B$8&amp;CHAR(10)&amp;"【单张范围】"&amp;E102&amp;CHAR(10)&amp;"【本组造型约束】"&amp;INDEX('素材需求'!$F$8:$F$119,MATCH(B102,'素材需求'!$A$8:$A$119,0))&amp;CHAR(10)&amp;"【参考对象】"&amp;F102&amp;CHAR(10)&amp;"【制作规格】"&amp;I102&amp;"；"&amp;INDEX('素材需求'!$M$8:$M$119,MATCH(B102,'素材需求'!$A$8:$A$119,0))&amp;CHAR(10)&amp;"【颜色】"&amp;'生成规范'!$B$10&amp;"；"&amp;'生成规范'!$B$11&amp;CHAR(10)&amp;"【输出规则】"&amp;'生成规范'!$B$12&amp;" 后处理对齐尺寸与轴点；交付用途："&amp;H102&amp;CHAR(10)&amp;"【禁止项】"&amp;'生成规范'!$B$9&amp;"；"&amp;INDEX('素材需求'!$N$8:$N$119,MATCH(B102,'素材需求'!$A$8:$A$119,0))</x:f>
        <x:v>【交付文件】nm_v2_abn_big_dog_base_parts_hind_leg.png
【本张任务】可复用后腿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【单张范围】只画本张：一条正常粗细犬后腿与圆足一体，后膝轮廓自然，供前后层复用，无其他腿；单一交付对象/姿势，不含其他零件、对照姿势、sheet、文字、背景或地面投影。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沿用旧ABN_N03_04十件的功能槽数，重新画干净常态犬体；上下口鼻保留正常尺度，新增1张兴奋眼层替换眼睛。原图棕雾/背景不继承。 每张只画units当前部件，头部/脸层分离，不能把组内完整角色或其他部件带入本张。
【参考对象】友好大型垂耳犬、红橙配粉白的现代吉祥物造型；宽圆口鼻和摇尾轮廓，参考直播应援的高兴表情，不参考张裂巨口或阴森犬兽。 以NMV2_ABN_N03_01的新常态定稿核对轮廓与配色。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02" s="37" t="str">
        <x:v>只画本张：一条正常粗细犬后腿与圆足一体，后膝轮廓自然，供前后层复用，无其他腿；单一交付对象/姿势，不含其他零件、对照姿势、sheet、文字、背景或地面投影。</x:v>
      </x:c>
      <x:c r="F102" s="37" t="str">
        <x:f>INDEX('素材需求'!$G$8:$G$119,MATCH(B102,'素材需求'!$A$8:$A$119,0))</x:f>
        <x:v>友好大型垂耳犬、红橙配粉白的现代吉祥物造型；宽圆口鼻和摇尾轮廓，参考直播应援的高兴表情，不参考张裂巨口或阴森犬兽。 以NMV2_ABN_N03_01的新常态定稿核对轮廓与配色。</x:v>
      </x:c>
      <x:c r="G102" s="37" t="str">
        <x:f>INDEX('素材需求'!$B$8:$B$119,MATCH(B102,'素材需求'!$A$8:$A$119,0))</x:f>
        <x:v>P0常态</x:v>
      </x:c>
      <x:c r="H102" s="37" t="str">
        <x:v>游戏拆件／贴图</x:v>
      </x:c>
      <x:c r="I102" s="37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02" s="37" t="str">
        <x:v>art_delivery/nm_v2/abnormalities/</x:v>
      </x:c>
      <x:c r="K102" s="45" t="str">
        <x:v>待生成</x:v>
      </x:c>
      <x:c r="L102" s="37" t="str">
        <x:v>hind_leg</x:v>
      </x:c>
    </x:row>
    <x:row r="103" ht="300" customHeight="1">
      <x:c r="A103" s="38" t="str">
        <x:f>INDEX('素材需求'!$D$8:$D$119,MATCH(B103,'素材需求'!$A$8:$A$119,0))&amp;IF(L103="","","_"&amp;L103)&amp;".png"</x:f>
        <x:v>nm_v2_abn_big_dog_base_parts_tail.png</x:v>
      </x:c>
      <x:c r="B103" s="38" t="str">
        <x:v>NMV2_ABN_N03_02</x:v>
      </x:c>
      <x:c r="C103" s="38" t="str">
        <x:v>犬尾</x:v>
      </x:c>
      <x:c r="D103" s="38" t="str">
        <x:f>"【交付文件】"&amp;A103&amp;CHAR(10)&amp;"【本张任务】"&amp;C103&amp;CHAR(10)&amp;'生成规范'!$B$8&amp;CHAR(10)&amp;"【单张范围】"&amp;E103&amp;CHAR(10)&amp;"【本组造型约束】"&amp;INDEX('素材需求'!$F$8:$F$119,MATCH(B103,'素材需求'!$A$8:$A$119,0))&amp;CHAR(10)&amp;"【参考对象】"&amp;F103&amp;CHAR(10)&amp;"【制作规格】"&amp;I103&amp;"；"&amp;INDEX('素材需求'!$M$8:$M$119,MATCH(B103,'素材需求'!$A$8:$A$119,0))&amp;CHAR(10)&amp;"【颜色】"&amp;'生成规范'!$B$10&amp;"；"&amp;'生成规范'!$B$11&amp;CHAR(10)&amp;"【输出规则】"&amp;'生成规范'!$B$12&amp;" 后处理对齐尺寸与轴点；交付用途："&amp;H103&amp;CHAR(10)&amp;"【禁止项】"&amp;'生成规范'!$B$9&amp;"；"&amp;INDEX('素材需求'!$N$8:$N$119,MATCH(B103,'素材需求'!$A$8:$A$119,0))</x:f>
        <x:v>【交付文件】nm_v2_abn_big_dog_base_parts_tail.png
【本张任务】犬尾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【单张范围】只画本张：一条柔软有体量的红橙犬尾，尾根清楚，无身体；单一交付对象/姿势，不含其他零件、对照姿势、sheet、文字、背景或地面投影。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沿用旧ABN_N03_04十件的功能槽数，重新画干净常态犬体；上下口鼻保留正常尺度，新增1张兴奋眼层替换眼睛。原图棕雾/背景不继承。 每张只画units当前部件，头部/脸层分离，不能把组内完整角色或其他部件带入本张。
【参考对象】友好大型垂耳犬、红橙配粉白的现代吉祥物造型；宽圆口鼻和摇尾轮廓，参考直播应援的高兴表情，不参考张裂巨口或阴森犬兽。 以NMV2_ABN_N03_01的新常态定稿核对轮廓与配色。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03" s="38" t="str">
        <x:v>只画本张：一条柔软有体量的红橙犬尾，尾根清楚，无身体；单一交付对象/姿势，不含其他零件、对照姿势、sheet、文字、背景或地面投影。</x:v>
      </x:c>
      <x:c r="F103" s="38" t="str">
        <x:f>INDEX('素材需求'!$G$8:$G$119,MATCH(B103,'素材需求'!$A$8:$A$119,0))</x:f>
        <x:v>友好大型垂耳犬、红橙配粉白的现代吉祥物造型；宽圆口鼻和摇尾轮廓，参考直播应援的高兴表情，不参考张裂巨口或阴森犬兽。 以NMV2_ABN_N03_01的新常态定稿核对轮廓与配色。</x:v>
      </x:c>
      <x:c r="G103" s="38" t="str">
        <x:f>INDEX('素材需求'!$B$8:$B$119,MATCH(B103,'素材需求'!$A$8:$A$119,0))</x:f>
        <x:v>P0常态</x:v>
      </x:c>
      <x:c r="H103" s="38" t="str">
        <x:v>游戏拆件／贴图</x:v>
      </x:c>
      <x:c r="I103" s="38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03" s="38" t="str">
        <x:v>art_delivery/nm_v2/abnormalities/</x:v>
      </x:c>
      <x:c r="K103" s="45" t="str">
        <x:v>待生成</x:v>
      </x:c>
      <x:c r="L103" s="38" t="str">
        <x:v>tail</x:v>
      </x:c>
    </x:row>
    <x:row r="104" ht="300" customHeight="1">
      <x:c r="A104" s="37" t="str">
        <x:f>INDEX('素材需求'!$D$8:$D$119,MATCH(B104,'素材需求'!$A$8:$A$119,0))&amp;IF(L104="","","_"&amp;L104)&amp;".png"</x:f>
        <x:v>nm_v2_abn_big_dog_base_parts_collar_tag.png</x:v>
      </x:c>
      <x:c r="B104" s="37" t="str">
        <x:v>NMV2_ABN_N03_02</x:v>
      </x:c>
      <x:c r="C104" s="37" t="str">
        <x:v>项圈与识别牌</x:v>
      </x:c>
      <x:c r="D104" s="37" t="str">
        <x:f>"【交付文件】"&amp;A104&amp;CHAR(10)&amp;"【本张任务】"&amp;C104&amp;CHAR(10)&amp;'生成规范'!$B$8&amp;CHAR(10)&amp;"【单张范围】"&amp;E104&amp;CHAR(10)&amp;"【本组造型约束】"&amp;INDEX('素材需求'!$F$8:$F$119,MATCH(B104,'素材需求'!$A$8:$A$119,0))&amp;CHAR(10)&amp;"【参考对象】"&amp;F104&amp;CHAR(10)&amp;"【制作规格】"&amp;I104&amp;"；"&amp;INDEX('素材需求'!$M$8:$M$119,MATCH(B104,'素材需求'!$A$8:$A$119,0))&amp;CHAR(10)&amp;"【颜色】"&amp;'生成规范'!$B$10&amp;"；"&amp;'生成规范'!$B$11&amp;CHAR(10)&amp;"【输出规则】"&amp;'生成规范'!$B$12&amp;" 后处理对齐尺寸与轴点；交付用途："&amp;H104&amp;CHAR(10)&amp;"【禁止项】"&amp;'生成规范'!$B$9&amp;"；"&amp;INDEX('素材需求'!$N$8:$N$119,MATCH(B104,'素材需求'!$A$8:$A$119,0))</x:f>
        <x:v>【交付文件】nm_v2_abn_big_dog_base_parts_collar_tag.png
【本张任务】项圈与识别牌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【单张范围】只画本张：一条现代简洁粉白项圈和小型无字圆角识别牌作为单部件，无头或胸腹；单一交付对象/姿势，不含其他零件、对照姿势、sheet、文字、背景或地面投影。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沿用旧ABN_N03_04十件的功能槽数，重新画干净常态犬体；上下口鼻保留正常尺度，新增1张兴奋眼层替换眼睛。原图棕雾/背景不继承。 每张只画units当前部件，头部/脸层分离，不能把组内完整角色或其他部件带入本张。
【参考对象】友好大型垂耳犬、红橙配粉白的现代吉祥物造型；宽圆口鼻和摇尾轮廓，参考直播应援的高兴表情，不参考张裂巨口或阴森犬兽。 以NMV2_ABN_N03_01的新常态定稿核对轮廓与配色。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04" s="37" t="str">
        <x:v>只画本张：一条现代简洁粉白项圈和小型无字圆角识别牌作为单部件，无头或胸腹；单一交付对象/姿势，不含其他零件、对照姿势、sheet、文字、背景或地面投影。</x:v>
      </x:c>
      <x:c r="F104" s="37" t="str">
        <x:f>INDEX('素材需求'!$G$8:$G$119,MATCH(B104,'素材需求'!$A$8:$A$119,0))</x:f>
        <x:v>友好大型垂耳犬、红橙配粉白的现代吉祥物造型；宽圆口鼻和摇尾轮廓，参考直播应援的高兴表情，不参考张裂巨口或阴森犬兽。 以NMV2_ABN_N03_01的新常态定稿核对轮廓与配色。</x:v>
      </x:c>
      <x:c r="G104" s="37" t="str">
        <x:f>INDEX('素材需求'!$B$8:$B$119,MATCH(B104,'素材需求'!$A$8:$A$119,0))</x:f>
        <x:v>P0常态</x:v>
      </x:c>
      <x:c r="H104" s="37" t="str">
        <x:v>游戏拆件／贴图</x:v>
      </x:c>
      <x:c r="I104" s="37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04" s="37" t="str">
        <x:v>art_delivery/nm_v2/abnormalities/</x:v>
      </x:c>
      <x:c r="K104" s="45" t="str">
        <x:v>待生成</x:v>
      </x:c>
      <x:c r="L104" s="37" t="str">
        <x:v>collar_tag</x:v>
      </x:c>
    </x:row>
    <x:row r="105" ht="328.5" customHeight="1">
      <x:c r="A105" s="38" t="str">
        <x:f>INDEX('素材需求'!$D$8:$D$119,MATCH(B105,'素材需求'!$A$8:$A$119,0))&amp;IF(L105="","","_"&amp;L105)&amp;".png"</x:f>
        <x:v>nm_v2_abn_big_dog_work_reference_greet.png</x:v>
      </x:c>
      <x:c r="B105" s="38" t="str">
        <x:v>NMV2_ABN_N03_03</x:v>
      </x:c>
      <x:c r="C105" s="38" t="str">
        <x:v>抬爪问候回应</x:v>
      </x:c>
      <x:c r="D105" s="38" t="str">
        <x:f>"【交付文件】"&amp;A105&amp;CHAR(10)&amp;"【本张任务】"&amp;C105&amp;CHAR(10)&amp;'生成规范'!$B$8&amp;CHAR(10)&amp;"【单张范围】"&amp;E105&amp;CHAR(10)&amp;"【本组造型约束】"&amp;INDEX('素材需求'!$F$8:$F$119,MATCH(B105,'素材需求'!$A$8:$A$119,0))&amp;CHAR(10)&amp;"【参考对象】"&amp;F105&amp;CHAR(10)&amp;"【制作规格】"&amp;I105&amp;"；"&amp;INDEX('素材需求'!$M$8:$M$119,MATCH(B105,'素材需求'!$A$8:$A$119,0))&amp;CHAR(10)&amp;"【颜色】"&amp;'生成规范'!$B$10&amp;"；"&amp;'生成规范'!$B$11&amp;CHAR(10)&amp;"【输出规则】"&amp;'生成规范'!$B$12&amp;" 后处理对齐尺寸与轴点；交付用途："&amp;H105&amp;CHAR(10)&amp;"【禁止项】"&amp;'生成规范'!$B$9&amp;"；"&amp;INDEX('素材需求'!$N$8:$N$119,MATCH(B105,'素材需求'!$A$8:$A$119,0))</x:f>
        <x:v>【交付文件】nm_v2_abn_big_dog_work_reference_greet.png
【本张任务】抬爪问候回应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【单张范围】只画本张：一只完整常态大狗朝右轻抬一只前爪问候，其他足稳定支撑，表情友好；单一交付对象/姿势，不含其他零件、对照姿势、sheet、文字、背景或地面投影。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【参考对象】友好大型垂耳犬、红橙配粉白的现代吉祥物造型；宽圆口鼻和摇尾轮廓，参考直播应援的高兴表情，不参考张裂巨口或阴森犬兽。 参考温和的观察、回应或安抚互动；沿用NMV2_ABN_N03_01新造型，不画员工同框。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05" s="38" t="str">
        <x:v>只画本张：一只完整常态大狗朝右轻抬一只前爪问候，其他足稳定支撑，表情友好；单一交付对象/姿势，不含其他零件、对照姿势、sheet、文字、背景或地面投影。</x:v>
      </x:c>
      <x:c r="F105" s="38" t="str">
        <x:f>INDEX('素材需求'!$G$8:$G$119,MATCH(B105,'素材需求'!$A$8:$A$119,0))</x:f>
        <x:v>友好大型垂耳犬、红橙配粉白的现代吉祥物造型；宽圆口鼻和摇尾轮廓，参考直播应援的高兴表情，不参考张裂巨口或阴森犬兽。 参考温和的观察、回应或安抚互动；沿用NMV2_ABN_N03_01新造型，不画员工同框。</x:v>
      </x:c>
      <x:c r="G105" s="38" t="str">
        <x:f>INDEX('素材需求'!$B$8:$B$119,MATCH(B105,'素材需求'!$A$8:$A$119,0))</x:f>
        <x:v>P0常态</x:v>
      </x:c>
      <x:c r="H105" s="38" t="str">
        <x:v>定稿／动作参考</x:v>
      </x:c>
      <x:c r="I105" s="38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05" s="38" t="str">
        <x:v>art_delivery/nm_v2/references/</x:v>
      </x:c>
      <x:c r="K105" s="45" t="str">
        <x:v>待生成</x:v>
      </x:c>
      <x:c r="L105" s="38" t="str">
        <x:v>greet</x:v>
      </x:c>
    </x:row>
    <x:row r="106" ht="328.5" customHeight="1">
      <x:c r="A106" s="37" t="str">
        <x:f>INDEX('素材需求'!$D$8:$D$119,MATCH(B106,'素材需求'!$A$8:$A$119,0))&amp;IF(L106="","","_"&amp;L106)&amp;".png"</x:f>
        <x:v>nm_v2_abn_big_dog_work_reference_relax.png</x:v>
      </x:c>
      <x:c r="B106" s="37" t="str">
        <x:v>NMV2_ABN_N03_03</x:v>
      </x:c>
      <x:c r="C106" s="37" t="str">
        <x:v>安静吐舌回应</x:v>
      </x:c>
      <x:c r="D106" s="37" t="str">
        <x:f>"【交付文件】"&amp;A106&amp;CHAR(10)&amp;"【本张任务】"&amp;C106&amp;CHAR(10)&amp;'生成规范'!$B$8&amp;CHAR(10)&amp;"【单张范围】"&amp;E106&amp;CHAR(10)&amp;"【本组造型约束】"&amp;INDEX('素材需求'!$F$8:$F$119,MATCH(B106,'素材需求'!$A$8:$A$119,0))&amp;CHAR(10)&amp;"【参考对象】"&amp;F106&amp;CHAR(10)&amp;"【制作规格】"&amp;I106&amp;"；"&amp;INDEX('素材需求'!$M$8:$M$119,MATCH(B106,'素材需求'!$A$8:$A$119,0))&amp;CHAR(10)&amp;"【颜色】"&amp;'生成规范'!$B$10&amp;"；"&amp;'生成规范'!$B$11&amp;CHAR(10)&amp;"【输出规则】"&amp;'生成规范'!$B$12&amp;" 后处理对齐尺寸与轴点；交付用途："&amp;H106&amp;CHAR(10)&amp;"【禁止项】"&amp;'生成规范'!$B$9&amp;"；"&amp;INDEX('素材需求'!$N$8:$N$119,MATCH(B106,'素材需求'!$A$8:$A$119,0))</x:f>
        <x:v>【交付文件】nm_v2_abn_big_dog_work_reference_relax.png
【本张任务】安静吐舌回应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【单张范围】只画本张：一只完整常态大狗微吐短舌、尾巴放松，正常口鼻与体型，适合工作交互的温和反馈；单一交付对象/姿势，不含其他零件、对照姿势、sheet、文字、背景或地面投影。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【参考对象】友好大型垂耳犬、红橙配粉白的现代吉祥物造型；宽圆口鼻和摇尾轮廓，参考直播应援的高兴表情，不参考张裂巨口或阴森犬兽。 参考温和的观察、回应或安抚互动；沿用NMV2_ABN_N03_01新造型，不画员工同框。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06" s="37" t="str">
        <x:v>只画本张：一只完整常态大狗微吐短舌、尾巴放松，正常口鼻与体型，适合工作交互的温和反馈；单一交付对象/姿势，不含其他零件、对照姿势、sheet、文字、背景或地面投影。</x:v>
      </x:c>
      <x:c r="F106" s="37" t="str">
        <x:f>INDEX('素材需求'!$G$8:$G$119,MATCH(B106,'素材需求'!$A$8:$A$119,0))</x:f>
        <x:v>友好大型垂耳犬、红橙配粉白的现代吉祥物造型；宽圆口鼻和摇尾轮廓，参考直播应援的高兴表情，不参考张裂巨口或阴森犬兽。 参考温和的观察、回应或安抚互动；沿用NMV2_ABN_N03_01新造型，不画员工同框。</x:v>
      </x:c>
      <x:c r="G106" s="37" t="str">
        <x:f>INDEX('素材需求'!$B$8:$B$119,MATCH(B106,'素材需求'!$A$8:$A$119,0))</x:f>
        <x:v>P0常态</x:v>
      </x:c>
      <x:c r="H106" s="37" t="str">
        <x:v>定稿／动作参考</x:v>
      </x:c>
      <x:c r="I106" s="37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06" s="37" t="str">
        <x:v>art_delivery/nm_v2/references/</x:v>
      </x:c>
      <x:c r="K106" s="45" t="str">
        <x:v>待生成</x:v>
      </x:c>
      <x:c r="L106" s="37" t="str">
        <x:v>relax</x:v>
      </x:c>
    </x:row>
    <x:row r="107" ht="300" customHeight="1">
      <x:c r="A107" s="38" t="str">
        <x:f>INDEX('素材需求'!$D$8:$D$119,MATCH(B107,'素材需求'!$A$8:$A$119,0))&amp;IF(L107="","","_"&amp;L107)&amp;".png"</x:f>
        <x:v>nm_v2_abn_dingdong_chicken_calm_identity_approved.png</x:v>
      </x:c>
      <x:c r="B107" s="38" t="str">
        <x:v>NMV2_ABN_N04_01</x:v>
      </x:c>
      <x:c r="C107" s="38" t="str">
        <x:v>常态完整形象</x:v>
      </x:c>
      <x:c r="D107" s="38" t="str">
        <x:f>"【交付文件】"&amp;A107&amp;CHAR(10)&amp;"【本张任务】"&amp;C107&amp;CHAR(10)&amp;'生成规范'!$B$8&amp;CHAR(10)&amp;"【单张范围】"&amp;E107&amp;CHAR(10)&amp;"【本组造型约束】"&amp;INDEX('素材需求'!$F$8:$F$119,MATCH(B107,'素材需求'!$A$8:$A$119,0))&amp;CHAR(10)&amp;"【参考对象】"&amp;F107&amp;CHAR(10)&amp;"【制作规格】"&amp;I107&amp;"；"&amp;INDEX('素材需求'!$M$8:$M$119,MATCH(B107,'素材需求'!$A$8:$A$119,0))&amp;CHAR(10)&amp;"【颜色】"&amp;'生成规范'!$B$10&amp;"；"&amp;'生成规范'!$B$11&amp;CHAR(10)&amp;"【输出规则】"&amp;'生成规范'!$B$12&amp;" 后处理对齐尺寸与轴点；交付用途："&amp;H107&amp;CHAR(10)&amp;"【禁止项】"&amp;'生成规范'!$B$9&amp;"；"&amp;INDEX('素材需求'!$N$8:$N$119,MATCH(B107,'素材需求'!$A$8:$A$119,0))</x:f>
        <x:v>【交付文件】nm_v2_abn_dingdong_chicken_calm_identity_approved.png
【本张任务】常态完整形象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的叮咚鸡常态形象，朝右自然待机；明黄与橙黄的鸡形吉祥物，清楚鸡冠、短喙、翅膀、尾羽和细短鸡腿；胸前一枚现代圆角通知徽章，提示红只占小块，不再用老式黄铜机械钟表。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常态不绘失效气泡、花屏或警报。
【参考对象】现代音频应用通知徽章与明黄鸡形吉祥物；清楚鸡冠、短喙、尾羽和圆角胸牌，参考播报员准备说话的头部动作，非机械钟表或黄铜机器人。 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07" s="38" t="str">
        <x:v>只画本张：一只完整的叮咚鸡常态形象，朝右自然待机；明黄与橙黄的鸡形吉祥物，清楚鸡冠、短喙、翅膀、尾羽和细短鸡腿；胸前一枚现代圆角通知徽章，提示红只占小块，不再用老式黄铜机械钟表。；单一交付对象/姿势，不含其他零件、对照姿势、sheet、文字、背景或地面投影。</x:v>
      </x:c>
      <x:c r="F107" s="38" t="str">
        <x:f>INDEX('素材需求'!$G$8:$G$119,MATCH(B107,'素材需求'!$A$8:$A$119,0))</x:f>
        <x:v>现代音频应用通知徽章与明黄鸡形吉祥物；清楚鸡冠、短喙、尾羽和圆角胸牌，参考播报员准备说话的头部动作，非机械钟表或黄铜机器人。 </x:v>
      </x:c>
      <x:c r="G107" s="38" t="str">
        <x:f>INDEX('素材需求'!$B$8:$B$119,MATCH(B107,'素材需求'!$A$8:$A$119,0))</x:f>
        <x:v>P0常态</x:v>
      </x:c>
      <x:c r="H107" s="38" t="str">
        <x:v>定稿／动作参考</x:v>
      </x:c>
      <x:c r="I10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07" s="38" t="str">
        <x:v>art_delivery/nm_v2/references/</x:v>
      </x:c>
      <x:c r="K107" s="45" t="str">
        <x:v>待生成</x:v>
      </x:c>
      <x:c r="L107" s="38" t="str">
        <x:v>approved</x:v>
      </x:c>
    </x:row>
    <x:row r="108" ht="328.5" customHeight="1">
      <x:c r="A108" s="37" t="str">
        <x:f>INDEX('素材需求'!$D$8:$D$119,MATCH(B108,'素材需求'!$A$8:$A$119,0))&amp;IF(L108="","","_"&amp;L108)&amp;".png"</x:f>
        <x:v>nm_v2_abn_dingdong_chicken_base_parts_body.png</x:v>
      </x:c>
      <x:c r="B108" s="37" t="str">
        <x:v>NMV2_ABN_N04_02</x:v>
      </x:c>
      <x:c r="C108" s="37" t="str">
        <x:v>黄鸡躯干</x:v>
      </x:c>
      <x:c r="D108" s="37" t="str">
        <x:f>"【交付文件】"&amp;A108&amp;CHAR(10)&amp;"【本张任务】"&amp;C108&amp;CHAR(10)&amp;'生成规范'!$B$8&amp;CHAR(10)&amp;"【单张范围】"&amp;E108&amp;CHAR(10)&amp;"【本组造型约束】"&amp;INDEX('素材需求'!$F$8:$F$119,MATCH(B108,'素材需求'!$A$8:$A$119,0))&amp;CHAR(10)&amp;"【参考对象】"&amp;F108&amp;CHAR(10)&amp;"【制作规格】"&amp;I108&amp;"；"&amp;INDEX('素材需求'!$M$8:$M$119,MATCH(B108,'素材需求'!$A$8:$A$119,0))&amp;CHAR(10)&amp;"【颜色】"&amp;'生成规范'!$B$10&amp;"；"&amp;'生成规范'!$B$11&amp;CHAR(10)&amp;"【输出规则】"&amp;'生成规范'!$B$12&amp;" 后处理对齐尺寸与轴点；交付用途："&amp;H108&amp;CHAR(10)&amp;"【禁止项】"&amp;'生成规范'!$B$9&amp;"；"&amp;INDEX('素材需求'!$N$8:$N$119,MATCH(B108,'素材需求'!$A$8:$A$119,0))</x:f>
        <x:v>【交付文件】nm_v2_abn_dingdong_chicken_base_parts_body.png
【本张任务】黄鸡躯干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【单张范围】只画本张：明黄鸡躯干与橙黄腹部小色块，胸部留徽章区，无头、翅、腿或尾；单一交付对象/姿势，不含其他零件、对照姿势、sheet、文字、背景或地面投影。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旧ABN_N04_04的clock_shell/长短指针三件停用，改为1张现代通知胸牌；常态总10件，另1张局部循环提示层。保持本体驻点广播，不把定稿动作解释为新移动能力。 每张只画units当前部件，头部/脸层分离，不能把组内完整角色或其他部件带入本张。
【参考对象】现代音频应用通知徽章与明黄鸡形吉祥物；清楚鸡冠、短喙、尾羽和圆角胸牌，参考播报员准备说话的头部动作，非机械钟表或黄铜机器人。 以NMV2_ABN_N04_01的新常态定稿核对轮廓与配色。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08" s="37" t="str">
        <x:v>只画本张：明黄鸡躯干与橙黄腹部小色块，胸部留徽章区，无头、翅、腿或尾；单一交付对象/姿势，不含其他零件、对照姿势、sheet、文字、背景或地面投影。</x:v>
      </x:c>
      <x:c r="F108" s="37" t="str">
        <x:f>INDEX('素材需求'!$G$8:$G$119,MATCH(B108,'素材需求'!$A$8:$A$119,0))</x:f>
        <x:v>现代音频应用通知徽章与明黄鸡形吉祥物；清楚鸡冠、短喙、尾羽和圆角胸牌，参考播报员准备说话的头部动作，非机械钟表或黄铜机器人。 以NMV2_ABN_N04_01的新常态定稿核对轮廓与配色。</x:v>
      </x:c>
      <x:c r="G108" s="37" t="str">
        <x:f>INDEX('素材需求'!$B$8:$B$119,MATCH(B108,'素材需求'!$A$8:$A$119,0))</x:f>
        <x:v>P0常态</x:v>
      </x:c>
      <x:c r="H108" s="37" t="str">
        <x:v>游戏拆件／贴图</x:v>
      </x:c>
      <x:c r="I10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08" s="37" t="str">
        <x:v>art_delivery/nm_v2/abnormalities/</x:v>
      </x:c>
      <x:c r="K108" s="45" t="str">
        <x:v>待生成</x:v>
      </x:c>
      <x:c r="L108" s="37" t="str">
        <x:v>body</x:v>
      </x:c>
    </x:row>
    <x:row r="109" ht="328.5" customHeight="1">
      <x:c r="A109" s="38" t="str">
        <x:f>INDEX('素材需求'!$D$8:$D$119,MATCH(B109,'素材需求'!$A$8:$A$119,0))&amp;IF(L109="","","_"&amp;L109)&amp;".png"</x:f>
        <x:v>nm_v2_abn_dingdong_chicken_base_parts_head_neck.png</x:v>
      </x:c>
      <x:c r="B109" s="38" t="str">
        <x:v>NMV2_ABN_N04_02</x:v>
      </x:c>
      <x:c r="C109" s="38" t="str">
        <x:v>头颈与常态眼</x:v>
      </x:c>
      <x:c r="D109" s="38" t="str">
        <x:f>"【交付文件】"&amp;A109&amp;CHAR(10)&amp;"【本张任务】"&amp;C109&amp;CHAR(10)&amp;'生成规范'!$B$8&amp;CHAR(10)&amp;"【单张范围】"&amp;E109&amp;CHAR(10)&amp;"【本组造型约束】"&amp;INDEX('素材需求'!$F$8:$F$119,MATCH(B109,'素材需求'!$A$8:$A$119,0))&amp;CHAR(10)&amp;"【参考对象】"&amp;F109&amp;CHAR(10)&amp;"【制作规格】"&amp;I109&amp;"；"&amp;INDEX('素材需求'!$M$8:$M$119,MATCH(B109,'素材需求'!$A$8:$A$119,0))&amp;CHAR(10)&amp;"【颜色】"&amp;'生成规范'!$B$10&amp;"；"&amp;'生成规范'!$B$11&amp;CHAR(10)&amp;"【输出规则】"&amp;'生成规范'!$B$12&amp;" 后处理对齐尺寸与轴点；交付用途："&amp;H109&amp;CHAR(10)&amp;"【禁止项】"&amp;'生成规范'!$B$9&amp;"；"&amp;INDEX('素材需求'!$N$8:$N$119,MATCH(B109,'素材需求'!$A$8:$A$119,0))</x:f>
        <x:v>【交付文件】nm_v2_abn_dingdong_chicken_base_parts_head_neck.png
【本张任务】头颈与常态眼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【单张范围】只画本张：鸡头短颈与一只可见正常眼的一体部件，喙部留空铰点，无鸡冠、喙或身体；单一交付对象/姿势，不含其他零件、对照姿势、sheet、文字、背景或地面投影。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旧ABN_N04_04的clock_shell/长短指针三件停用，改为1张现代通知胸牌；常态总10件，另1张局部循环提示层。保持本体驻点广播，不把定稿动作解释为新移动能力。 每张只画units当前部件，头部/脸层分离，不能把组内完整角色或其他部件带入本张。
【参考对象】现代音频应用通知徽章与明黄鸡形吉祥物；清楚鸡冠、短喙、尾羽和圆角胸牌，参考播报员准备说话的头部动作，非机械钟表或黄铜机器人。 以NMV2_ABN_N04_01的新常态定稿核对轮廓与配色。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09" s="38" t="str">
        <x:v>只画本张：鸡头短颈与一只可见正常眼的一体部件，喙部留空铰点，无鸡冠、喙或身体；单一交付对象/姿势，不含其他零件、对照姿势、sheet、文字、背景或地面投影。</x:v>
      </x:c>
      <x:c r="F109" s="38" t="str">
        <x:f>INDEX('素材需求'!$G$8:$G$119,MATCH(B109,'素材需求'!$A$8:$A$119,0))</x:f>
        <x:v>现代音频应用通知徽章与明黄鸡形吉祥物；清楚鸡冠、短喙、尾羽和圆角胸牌，参考播报员准备说话的头部动作，非机械钟表或黄铜机器人。 以NMV2_ABN_N04_01的新常态定稿核对轮廓与配色。</x:v>
      </x:c>
      <x:c r="G109" s="38" t="str">
        <x:f>INDEX('素材需求'!$B$8:$B$119,MATCH(B109,'素材需求'!$A$8:$A$119,0))</x:f>
        <x:v>P0常态</x:v>
      </x:c>
      <x:c r="H109" s="38" t="str">
        <x:v>游戏拆件／贴图</x:v>
      </x:c>
      <x:c r="I10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09" s="38" t="str">
        <x:v>art_delivery/nm_v2/abnormalities/</x:v>
      </x:c>
      <x:c r="K109" s="45" t="str">
        <x:v>待生成</x:v>
      </x:c>
      <x:c r="L109" s="38" t="str">
        <x:v>head_neck</x:v>
      </x:c>
    </x:row>
    <x:row r="110" ht="328.5" customHeight="1">
      <x:c r="A110" s="37" t="str">
        <x:f>INDEX('素材需求'!$D$8:$D$119,MATCH(B110,'素材需求'!$A$8:$A$119,0))&amp;IF(L110="","","_"&amp;L110)&amp;".png"</x:f>
        <x:v>nm_v2_abn_dingdong_chicken_base_parts_comb.png</x:v>
      </x:c>
      <x:c r="B110" s="37" t="str">
        <x:v>NMV2_ABN_N04_02</x:v>
      </x:c>
      <x:c r="C110" s="37" t="str">
        <x:v>鸡冠</x:v>
      </x:c>
      <x:c r="D110" s="37" t="str">
        <x:f>"【交付文件】"&amp;A110&amp;CHAR(10)&amp;"【本张任务】"&amp;C110&amp;CHAR(10)&amp;'生成规范'!$B$8&amp;CHAR(10)&amp;"【单张范围】"&amp;E110&amp;CHAR(10)&amp;"【本组造型约束】"&amp;INDEX('素材需求'!$F$8:$F$119,MATCH(B110,'素材需求'!$A$8:$A$119,0))&amp;CHAR(10)&amp;"【参考对象】"&amp;F110&amp;CHAR(10)&amp;"【制作规格】"&amp;I110&amp;"；"&amp;INDEX('素材需求'!$M$8:$M$119,MATCH(B110,'素材需求'!$A$8:$A$119,0))&amp;CHAR(10)&amp;"【颜色】"&amp;'生成规范'!$B$10&amp;"；"&amp;'生成规范'!$B$11&amp;CHAR(10)&amp;"【输出规则】"&amp;'生成规范'!$B$12&amp;" 后处理对齐尺寸与轴点；交付用途："&amp;H110&amp;CHAR(10)&amp;"【禁止项】"&amp;'生成规范'!$B$9&amp;"；"&amp;INDEX('素材需求'!$N$8:$N$119,MATCH(B110,'素材需求'!$A$8:$A$119,0))</x:f>
        <x:v>【交付文件】nm_v2_abn_dingdong_chicken_base_parts_comb.png
【本张任务】鸡冠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【单张范围】只画本张：一块圆角红橙鸡冠，根部可接头，无头部；单一交付对象/姿势，不含其他零件、对照姿势、sheet、文字、背景或地面投影。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旧ABN_N04_04的clock_shell/长短指针三件停用，改为1张现代通知胸牌；常态总10件，另1张局部循环提示层。保持本体驻点广播，不把定稿动作解释为新移动能力。 每张只画units当前部件，头部/脸层分离，不能把组内完整角色或其他部件带入本张。
【参考对象】现代音频应用通知徽章与明黄鸡形吉祥物；清楚鸡冠、短喙、尾羽和圆角胸牌，参考播报员准备说话的头部动作，非机械钟表或黄铜机器人。 以NMV2_ABN_N04_01的新常态定稿核对轮廓与配色。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10" s="37" t="str">
        <x:v>只画本张：一块圆角红橙鸡冠，根部可接头，无头部；单一交付对象/姿势，不含其他零件、对照姿势、sheet、文字、背景或地面投影。</x:v>
      </x:c>
      <x:c r="F110" s="37" t="str">
        <x:f>INDEX('素材需求'!$G$8:$G$119,MATCH(B110,'素材需求'!$A$8:$A$119,0))</x:f>
        <x:v>现代音频应用通知徽章与明黄鸡形吉祥物；清楚鸡冠、短喙、尾羽和圆角胸牌，参考播报员准备说话的头部动作，非机械钟表或黄铜机器人。 以NMV2_ABN_N04_01的新常态定稿核对轮廓与配色。</x:v>
      </x:c>
      <x:c r="G110" s="37" t="str">
        <x:f>INDEX('素材需求'!$B$8:$B$119,MATCH(B110,'素材需求'!$A$8:$A$119,0))</x:f>
        <x:v>P0常态</x:v>
      </x:c>
      <x:c r="H110" s="37" t="str">
        <x:v>游戏拆件／贴图</x:v>
      </x:c>
      <x:c r="I11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10" s="37" t="str">
        <x:v>art_delivery/nm_v2/abnormalities/</x:v>
      </x:c>
      <x:c r="K110" s="45" t="str">
        <x:v>待生成</x:v>
      </x:c>
      <x:c r="L110" s="37" t="str">
        <x:v>comb</x:v>
      </x:c>
    </x:row>
    <x:row r="111" ht="328.5" customHeight="1">
      <x:c r="A111" s="38" t="str">
        <x:f>INDEX('素材需求'!$D$8:$D$119,MATCH(B111,'素材需求'!$A$8:$A$119,0))&amp;IF(L111="","","_"&amp;L111)&amp;".png"</x:f>
        <x:v>nm_v2_abn_dingdong_chicken_base_parts_upper_beak.png</x:v>
      </x:c>
      <x:c r="B111" s="38" t="str">
        <x:v>NMV2_ABN_N04_02</x:v>
      </x:c>
      <x:c r="C111" s="38" t="str">
        <x:v>上喙</x:v>
      </x:c>
      <x:c r="D111" s="38" t="str">
        <x:f>"【交付文件】"&amp;A111&amp;CHAR(10)&amp;"【本张任务】"&amp;C111&amp;CHAR(10)&amp;'生成规范'!$B$8&amp;CHAR(10)&amp;"【单张范围】"&amp;E111&amp;CHAR(10)&amp;"【本组造型约束】"&amp;INDEX('素材需求'!$F$8:$F$119,MATCH(B111,'素材需求'!$A$8:$A$119,0))&amp;CHAR(10)&amp;"【参考对象】"&amp;F111&amp;CHAR(10)&amp;"【制作规格】"&amp;I111&amp;"；"&amp;INDEX('素材需求'!$M$8:$M$119,MATCH(B111,'素材需求'!$A$8:$A$119,0))&amp;CHAR(10)&amp;"【颜色】"&amp;'生成规范'!$B$10&amp;"；"&amp;'生成规范'!$B$11&amp;CHAR(10)&amp;"【输出规则】"&amp;'生成规范'!$B$12&amp;" 后处理对齐尺寸与轴点；交付用途："&amp;H111&amp;CHAR(10)&amp;"【禁止项】"&amp;'生成规范'!$B$9&amp;"；"&amp;INDEX('素材需求'!$N$8:$N$119,MATCH(B111,'素材需求'!$A$8:$A$119,0))</x:f>
        <x:v>【交付文件】nm_v2_abn_dingdong_chicken_base_parts_upper_beak.png
【本张任务】上喙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【单张范围】只画本张：一只短钝橙黄上喙，清楚铰点，无头或下喙；单一交付对象/姿势，不含其他零件、对照姿势、sheet、文字、背景或地面投影。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旧ABN_N04_04的clock_shell/长短指针三件停用，改为1张现代通知胸牌；常态总10件，另1张局部循环提示层。保持本体驻点广播，不把定稿动作解释为新移动能力。 每张只画units当前部件，头部/脸层分离，不能把组内完整角色或其他部件带入本张。
【参考对象】现代音频应用通知徽章与明黄鸡形吉祥物；清楚鸡冠、短喙、尾羽和圆角胸牌，参考播报员准备说话的头部动作，非机械钟表或黄铜机器人。 以NMV2_ABN_N04_01的新常态定稿核对轮廓与配色。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11" s="38" t="str">
        <x:v>只画本张：一只短钝橙黄上喙，清楚铰点，无头或下喙；单一交付对象/姿势，不含其他零件、对照姿势、sheet、文字、背景或地面投影。</x:v>
      </x:c>
      <x:c r="F111" s="38" t="str">
        <x:f>INDEX('素材需求'!$G$8:$G$119,MATCH(B111,'素材需求'!$A$8:$A$119,0))</x:f>
        <x:v>现代音频应用通知徽章与明黄鸡形吉祥物；清楚鸡冠、短喙、尾羽和圆角胸牌，参考播报员准备说话的头部动作，非机械钟表或黄铜机器人。 以NMV2_ABN_N04_01的新常态定稿核对轮廓与配色。</x:v>
      </x:c>
      <x:c r="G111" s="38" t="str">
        <x:f>INDEX('素材需求'!$B$8:$B$119,MATCH(B111,'素材需求'!$A$8:$A$119,0))</x:f>
        <x:v>P0常态</x:v>
      </x:c>
      <x:c r="H111" s="38" t="str">
        <x:v>游戏拆件／贴图</x:v>
      </x:c>
      <x:c r="I11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11" s="38" t="str">
        <x:v>art_delivery/nm_v2/abnormalities/</x:v>
      </x:c>
      <x:c r="K111" s="45" t="str">
        <x:v>待生成</x:v>
      </x:c>
      <x:c r="L111" s="38" t="str">
        <x:v>upper_beak</x:v>
      </x:c>
    </x:row>
    <x:row r="112" ht="328.5" customHeight="1">
      <x:c r="A112" s="37" t="str">
        <x:f>INDEX('素材需求'!$D$8:$D$119,MATCH(B112,'素材需求'!$A$8:$A$119,0))&amp;IF(L112="","","_"&amp;L112)&amp;".png"</x:f>
        <x:v>nm_v2_abn_dingdong_chicken_base_parts_lower_beak_wattle.png</x:v>
      </x:c>
      <x:c r="B112" s="37" t="str">
        <x:v>NMV2_ABN_N04_02</x:v>
      </x:c>
      <x:c r="C112" s="37" t="str">
        <x:v>下喙与小肉垂</x:v>
      </x:c>
      <x:c r="D112" s="37" t="str">
        <x:f>"【交付文件】"&amp;A112&amp;CHAR(10)&amp;"【本张任务】"&amp;C112&amp;CHAR(10)&amp;'生成规范'!$B$8&amp;CHAR(10)&amp;"【单张范围】"&amp;E112&amp;CHAR(10)&amp;"【本组造型约束】"&amp;INDEX('素材需求'!$F$8:$F$119,MATCH(B112,'素材需求'!$A$8:$A$119,0))&amp;CHAR(10)&amp;"【参考对象】"&amp;F112&amp;CHAR(10)&amp;"【制作规格】"&amp;I112&amp;"；"&amp;INDEX('素材需求'!$M$8:$M$119,MATCH(B112,'素材需求'!$A$8:$A$119,0))&amp;CHAR(10)&amp;"【颜色】"&amp;'生成规范'!$B$10&amp;"；"&amp;'生成规范'!$B$11&amp;CHAR(10)&amp;"【输出规则】"&amp;'生成规范'!$B$12&amp;" 后处理对齐尺寸与轴点；交付用途："&amp;H112&amp;CHAR(10)&amp;"【禁止项】"&amp;'生成规范'!$B$9&amp;"；"&amp;INDEX('素材需求'!$N$8:$N$119,MATCH(B112,'素材需求'!$A$8:$A$119,0))</x:f>
        <x:v>【交付文件】nm_v2_abn_dingdong_chicken_base_parts_lower_beak_wattle.png
【本张任务】下喙与小肉垂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【单张范围】只画本张：短下喙及小型红橙肉垂的一体部件，铰点明确，无上喙或头；单一交付对象/姿势，不含其他零件、对照姿势、sheet、文字、背景或地面投影。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旧ABN_N04_04的clock_shell/长短指针三件停用，改为1张现代通知胸牌；常态总10件，另1张局部循环提示层。保持本体驻点广播，不把定稿动作解释为新移动能力。 每张只画units当前部件，头部/脸层分离，不能把组内完整角色或其他部件带入本张。
【参考对象】现代音频应用通知徽章与明黄鸡形吉祥物；清楚鸡冠、短喙、尾羽和圆角胸牌，参考播报员准备说话的头部动作，非机械钟表或黄铜机器人。 以NMV2_ABN_N04_01的新常态定稿核对轮廓与配色。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12" s="37" t="str">
        <x:v>只画本张：短下喙及小型红橙肉垂的一体部件，铰点明确，无上喙或头；单一交付对象/姿势，不含其他零件、对照姿势、sheet、文字、背景或地面投影。</x:v>
      </x:c>
      <x:c r="F112" s="37" t="str">
        <x:f>INDEX('素材需求'!$G$8:$G$119,MATCH(B112,'素材需求'!$A$8:$A$119,0))</x:f>
        <x:v>现代音频应用通知徽章与明黄鸡形吉祥物；清楚鸡冠、短喙、尾羽和圆角胸牌，参考播报员准备说话的头部动作，非机械钟表或黄铜机器人。 以NMV2_ABN_N04_01的新常态定稿核对轮廓与配色。</x:v>
      </x:c>
      <x:c r="G112" s="37" t="str">
        <x:f>INDEX('素材需求'!$B$8:$B$119,MATCH(B112,'素材需求'!$A$8:$A$119,0))</x:f>
        <x:v>P0常态</x:v>
      </x:c>
      <x:c r="H112" s="37" t="str">
        <x:v>游戏拆件／贴图</x:v>
      </x:c>
      <x:c r="I11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12" s="37" t="str">
        <x:v>art_delivery/nm_v2/abnormalities/</x:v>
      </x:c>
      <x:c r="K112" s="45" t="str">
        <x:v>待生成</x:v>
      </x:c>
      <x:c r="L112" s="37" t="str">
        <x:v>lower_beak_wattle</x:v>
      </x:c>
    </x:row>
    <x:row r="113" ht="328.5" customHeight="1">
      <x:c r="A113" s="38" t="str">
        <x:f>INDEX('素材需求'!$D$8:$D$119,MATCH(B113,'素材需求'!$A$8:$A$119,0))&amp;IF(L113="","","_"&amp;L113)&amp;".png"</x:f>
        <x:v>nm_v2_abn_dingdong_chicken_base_parts_wing.png</x:v>
      </x:c>
      <x:c r="B113" s="38" t="str">
        <x:v>NMV2_ABN_N04_02</x:v>
      </x:c>
      <x:c r="C113" s="38" t="str">
        <x:v>可复用翅膀</x:v>
      </x:c>
      <x:c r="D113" s="38" t="str">
        <x:f>"【交付文件】"&amp;A113&amp;CHAR(10)&amp;"【本张任务】"&amp;C113&amp;CHAR(10)&amp;'生成规范'!$B$8&amp;CHAR(10)&amp;"【单张范围】"&amp;E113&amp;CHAR(10)&amp;"【本组造型约束】"&amp;INDEX('素材需求'!$F$8:$F$119,MATCH(B113,'素材需求'!$A$8:$A$119,0))&amp;CHAR(10)&amp;"【参考对象】"&amp;F113&amp;CHAR(10)&amp;"【制作规格】"&amp;I113&amp;"；"&amp;INDEX('素材需求'!$M$8:$M$119,MATCH(B113,'素材需求'!$A$8:$A$119,0))&amp;CHAR(10)&amp;"【颜色】"&amp;'生成规范'!$B$10&amp;"；"&amp;'生成规范'!$B$11&amp;CHAR(10)&amp;"【输出规则】"&amp;'生成规范'!$B$12&amp;" 后处理对齐尺寸与轴点；交付用途："&amp;H113&amp;CHAR(10)&amp;"【禁止项】"&amp;'生成规范'!$B$9&amp;"；"&amp;INDEX('素材需求'!$N$8:$N$119,MATCH(B113,'素材需求'!$A$8:$A$119,0))</x:f>
        <x:v>【交付文件】nm_v2_abn_dingdong_chicken_base_parts_wing.png
【本张任务】可复用翅膀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【单张范围】只画本张：一只短鸡翅，明黄平面羽片轮廓，翅根完整，无躯干；单一交付对象/姿势，不含其他零件、对照姿势、sheet、文字、背景或地面投影。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旧ABN_N04_04的clock_shell/长短指针三件停用，改为1张现代通知胸牌；常态总10件，另1张局部循环提示层。保持本体驻点广播，不把定稿动作解释为新移动能力。 每张只画units当前部件，头部/脸层分离，不能把组内完整角色或其他部件带入本张。
【参考对象】现代音频应用通知徽章与明黄鸡形吉祥物；清楚鸡冠、短喙、尾羽和圆角胸牌，参考播报员准备说话的头部动作，非机械钟表或黄铜机器人。 以NMV2_ABN_N04_01的新常态定稿核对轮廓与配色。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13" s="38" t="str">
        <x:v>只画本张：一只短鸡翅，明黄平面羽片轮廓，翅根完整，无躯干；单一交付对象/姿势，不含其他零件、对照姿势、sheet、文字、背景或地面投影。</x:v>
      </x:c>
      <x:c r="F113" s="38" t="str">
        <x:f>INDEX('素材需求'!$G$8:$G$119,MATCH(B113,'素材需求'!$A$8:$A$119,0))</x:f>
        <x:v>现代音频应用通知徽章与明黄鸡形吉祥物；清楚鸡冠、短喙、尾羽和圆角胸牌，参考播报员准备说话的头部动作，非机械钟表或黄铜机器人。 以NMV2_ABN_N04_01的新常态定稿核对轮廓与配色。</x:v>
      </x:c>
      <x:c r="G113" s="38" t="str">
        <x:f>INDEX('素材需求'!$B$8:$B$119,MATCH(B113,'素材需求'!$A$8:$A$119,0))</x:f>
        <x:v>P0常态</x:v>
      </x:c>
      <x:c r="H113" s="38" t="str">
        <x:v>游戏拆件／贴图</x:v>
      </x:c>
      <x:c r="I11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13" s="38" t="str">
        <x:v>art_delivery/nm_v2/abnormalities/</x:v>
      </x:c>
      <x:c r="K113" s="45" t="str">
        <x:v>待生成</x:v>
      </x:c>
      <x:c r="L113" s="38" t="str">
        <x:v>wing</x:v>
      </x:c>
    </x:row>
    <x:row r="114" ht="328.5" customHeight="1">
      <x:c r="A114" s="37" t="str">
        <x:f>INDEX('素材需求'!$D$8:$D$119,MATCH(B114,'素材需求'!$A$8:$A$119,0))&amp;IF(L114="","","_"&amp;L114)&amp;".png"</x:f>
        <x:v>nm_v2_abn_dingdong_chicken_base_parts_tail_feathers.png</x:v>
      </x:c>
      <x:c r="B114" s="37" t="str">
        <x:v>NMV2_ABN_N04_02</x:v>
      </x:c>
      <x:c r="C114" s="37" t="str">
        <x:v>尾羽</x:v>
      </x:c>
      <x:c r="D114" s="37" t="str">
        <x:f>"【交付文件】"&amp;A114&amp;CHAR(10)&amp;"【本张任务】"&amp;C114&amp;CHAR(10)&amp;'生成规范'!$B$8&amp;CHAR(10)&amp;"【单张范围】"&amp;E114&amp;CHAR(10)&amp;"【本组造型约束】"&amp;INDEX('素材需求'!$F$8:$F$119,MATCH(B114,'素材需求'!$A$8:$A$119,0))&amp;CHAR(10)&amp;"【参考对象】"&amp;F114&amp;CHAR(10)&amp;"【制作规格】"&amp;I114&amp;"；"&amp;INDEX('素材需求'!$M$8:$M$119,MATCH(B114,'素材需求'!$A$8:$A$119,0))&amp;CHAR(10)&amp;"【颜色】"&amp;'生成规范'!$B$10&amp;"；"&amp;'生成规范'!$B$11&amp;CHAR(10)&amp;"【输出规则】"&amp;'生成规范'!$B$12&amp;" 后处理对齐尺寸与轴点；交付用途："&amp;H114&amp;CHAR(10)&amp;"【禁止项】"&amp;'生成规范'!$B$9&amp;"；"&amp;INDEX('素材需求'!$N$8:$N$119,MATCH(B114,'素材需求'!$A$8:$A$119,0))</x:f>
        <x:v>【交付文件】nm_v2_abn_dingdong_chicken_base_parts_tail_feathers.png
【本张任务】尾羽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【单张范围】只画本张：一束简洁橙黄尾羽作为一个部件，尾根完整，无躯干；单一交付对象/姿势，不含其他零件、对照姿势、sheet、文字、背景或地面投影。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旧ABN_N04_04的clock_shell/长短指针三件停用，改为1张现代通知胸牌；常态总10件，另1张局部循环提示层。保持本体驻点广播，不把定稿动作解释为新移动能力。 每张只画units当前部件，头部/脸层分离，不能把组内完整角色或其他部件带入本张。
【参考对象】现代音频应用通知徽章与明黄鸡形吉祥物；清楚鸡冠、短喙、尾羽和圆角胸牌，参考播报员准备说话的头部动作，非机械钟表或黄铜机器人。 以NMV2_ABN_N04_01的新常态定稿核对轮廓与配色。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14" s="37" t="str">
        <x:v>只画本张：一束简洁橙黄尾羽作为一个部件，尾根完整，无躯干；单一交付对象/姿势，不含其他零件、对照姿势、sheet、文字、背景或地面投影。</x:v>
      </x:c>
      <x:c r="F114" s="37" t="str">
        <x:f>INDEX('素材需求'!$G$8:$G$119,MATCH(B114,'素材需求'!$A$8:$A$119,0))</x:f>
        <x:v>现代音频应用通知徽章与明黄鸡形吉祥物；清楚鸡冠、短喙、尾羽和圆角胸牌，参考播报员准备说话的头部动作，非机械钟表或黄铜机器人。 以NMV2_ABN_N04_01的新常态定稿核对轮廓与配色。</x:v>
      </x:c>
      <x:c r="G114" s="37" t="str">
        <x:f>INDEX('素材需求'!$B$8:$B$119,MATCH(B114,'素材需求'!$A$8:$A$119,0))</x:f>
        <x:v>P0常态</x:v>
      </x:c>
      <x:c r="H114" s="37" t="str">
        <x:v>游戏拆件／贴图</x:v>
      </x:c>
      <x:c r="I11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14" s="37" t="str">
        <x:v>art_delivery/nm_v2/abnormalities/</x:v>
      </x:c>
      <x:c r="K114" s="45" t="str">
        <x:v>待生成</x:v>
      </x:c>
      <x:c r="L114" s="37" t="str">
        <x:v>tail_feathers</x:v>
      </x:c>
    </x:row>
    <x:row r="115" ht="328.5" customHeight="1">
      <x:c r="A115" s="38" t="str">
        <x:f>INDEX('素材需求'!$D$8:$D$119,MATCH(B115,'素材需求'!$A$8:$A$119,0))&amp;IF(L115="","","_"&amp;L115)&amp;".png"</x:f>
        <x:v>nm_v2_abn_dingdong_chicken_base_parts_leg_left.png</x:v>
      </x:c>
      <x:c r="B115" s="38" t="str">
        <x:v>NMV2_ABN_N04_02</x:v>
      </x:c>
      <x:c r="C115" s="38" t="str">
        <x:v>远侧鸡腿</x:v>
      </x:c>
      <x:c r="D115" s="38" t="str">
        <x:f>"【交付文件】"&amp;A115&amp;CHAR(10)&amp;"【本张任务】"&amp;C115&amp;CHAR(10)&amp;'生成规范'!$B$8&amp;CHAR(10)&amp;"【单张范围】"&amp;E115&amp;CHAR(10)&amp;"【本组造型约束】"&amp;INDEX('素材需求'!$F$8:$F$119,MATCH(B115,'素材需求'!$A$8:$A$119,0))&amp;CHAR(10)&amp;"【参考对象】"&amp;F115&amp;CHAR(10)&amp;"【制作规格】"&amp;I115&amp;"；"&amp;INDEX('素材需求'!$M$8:$M$119,MATCH(B115,'素材需求'!$A$8:$A$119,0))&amp;CHAR(10)&amp;"【颜色】"&amp;'生成规范'!$B$10&amp;"；"&amp;'生成规范'!$B$11&amp;CHAR(10)&amp;"【输出规则】"&amp;'生成规范'!$B$12&amp;" 后处理对齐尺寸与轴点；交付用途："&amp;H115&amp;CHAR(10)&amp;"【禁止项】"&amp;'生成规范'!$B$9&amp;"；"&amp;INDEX('素材需求'!$N$8:$N$119,MATCH(B115,'素材需求'!$A$8:$A$119,0))</x:f>
        <x:v>【交付文件】nm_v2_abn_dingdong_chicken_base_parts_leg_left.png
【本张任务】远侧鸡腿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【单张范围】只画本张：远侧细短鸡腿与圆钝趾足，正常长度，无身体；单一交付对象/姿势，不含其他零件、对照姿势、sheet、文字、背景或地面投影。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旧ABN_N04_04的clock_shell/长短指针三件停用，改为1张现代通知胸牌；常态总10件，另1张局部循环提示层。保持本体驻点广播，不把定稿动作解释为新移动能力。 每张只画units当前部件，头部/脸层分离，不能把组内完整角色或其他部件带入本张。
【参考对象】现代音频应用通知徽章与明黄鸡形吉祥物；清楚鸡冠、短喙、尾羽和圆角胸牌，参考播报员准备说话的头部动作，非机械钟表或黄铜机器人。 以NMV2_ABN_N04_01的新常态定稿核对轮廓与配色。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15" s="38" t="str">
        <x:v>只画本张：远侧细短鸡腿与圆钝趾足，正常长度，无身体；单一交付对象/姿势，不含其他零件、对照姿势、sheet、文字、背景或地面投影。</x:v>
      </x:c>
      <x:c r="F115" s="38" t="str">
        <x:f>INDEX('素材需求'!$G$8:$G$119,MATCH(B115,'素材需求'!$A$8:$A$119,0))</x:f>
        <x:v>现代音频应用通知徽章与明黄鸡形吉祥物；清楚鸡冠、短喙、尾羽和圆角胸牌，参考播报员准备说话的头部动作，非机械钟表或黄铜机器人。 以NMV2_ABN_N04_01的新常态定稿核对轮廓与配色。</x:v>
      </x:c>
      <x:c r="G115" s="38" t="str">
        <x:f>INDEX('素材需求'!$B$8:$B$119,MATCH(B115,'素材需求'!$A$8:$A$119,0))</x:f>
        <x:v>P0常态</x:v>
      </x:c>
      <x:c r="H115" s="38" t="str">
        <x:v>游戏拆件／贴图</x:v>
      </x:c>
      <x:c r="I11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15" s="38" t="str">
        <x:v>art_delivery/nm_v2/abnormalities/</x:v>
      </x:c>
      <x:c r="K115" s="45" t="str">
        <x:v>待生成</x:v>
      </x:c>
      <x:c r="L115" s="38" t="str">
        <x:v>leg_left</x:v>
      </x:c>
    </x:row>
    <x:row r="116" ht="328.5" customHeight="1">
      <x:c r="A116" s="37" t="str">
        <x:f>INDEX('素材需求'!$D$8:$D$119,MATCH(B116,'素材需求'!$A$8:$A$119,0))&amp;IF(L116="","","_"&amp;L116)&amp;".png"</x:f>
        <x:v>nm_v2_abn_dingdong_chicken_base_parts_leg_right.png</x:v>
      </x:c>
      <x:c r="B116" s="37" t="str">
        <x:v>NMV2_ABN_N04_02</x:v>
      </x:c>
      <x:c r="C116" s="37" t="str">
        <x:v>近侧鸡腿</x:v>
      </x:c>
      <x:c r="D116" s="37" t="str">
        <x:f>"【交付文件】"&amp;A116&amp;CHAR(10)&amp;"【本张任务】"&amp;C116&amp;CHAR(10)&amp;'生成规范'!$B$8&amp;CHAR(10)&amp;"【单张范围】"&amp;E116&amp;CHAR(10)&amp;"【本组造型约束】"&amp;INDEX('素材需求'!$F$8:$F$119,MATCH(B116,'素材需求'!$A$8:$A$119,0))&amp;CHAR(10)&amp;"【参考对象】"&amp;F116&amp;CHAR(10)&amp;"【制作规格】"&amp;I116&amp;"；"&amp;INDEX('素材需求'!$M$8:$M$119,MATCH(B116,'素材需求'!$A$8:$A$119,0))&amp;CHAR(10)&amp;"【颜色】"&amp;'生成规范'!$B$10&amp;"；"&amp;'生成规范'!$B$11&amp;CHAR(10)&amp;"【输出规则】"&amp;'生成规范'!$B$12&amp;" 后处理对齐尺寸与轴点；交付用途："&amp;H116&amp;CHAR(10)&amp;"【禁止项】"&amp;'生成规范'!$B$9&amp;"；"&amp;INDEX('素材需求'!$N$8:$N$119,MATCH(B116,'素材需求'!$A$8:$A$119,0))</x:f>
        <x:v>【交付文件】nm_v2_abn_dingdong_chicken_base_parts_leg_right.png
【本张任务】近侧鸡腿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【单张范围】只画本张：近侧细短鸡腿与圆钝趾足，正常长度，无身体；单一交付对象/姿势，不含其他零件、对照姿势、sheet、文字、背景或地面投影。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旧ABN_N04_04的clock_shell/长短指针三件停用，改为1张现代通知胸牌；常态总10件，另1张局部循环提示层。保持本体驻点广播，不把定稿动作解释为新移动能力。 每张只画units当前部件，头部/脸层分离，不能把组内完整角色或其他部件带入本张。
【参考对象】现代音频应用通知徽章与明黄鸡形吉祥物；清楚鸡冠、短喙、尾羽和圆角胸牌，参考播报员准备说话的头部动作，非机械钟表或黄铜机器人。 以NMV2_ABN_N04_01的新常态定稿核对轮廓与配色。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16" s="37" t="str">
        <x:v>只画本张：近侧细短鸡腿与圆钝趾足，正常长度，无身体；单一交付对象/姿势，不含其他零件、对照姿势、sheet、文字、背景或地面投影。</x:v>
      </x:c>
      <x:c r="F116" s="37" t="str">
        <x:f>INDEX('素材需求'!$G$8:$G$119,MATCH(B116,'素材需求'!$A$8:$A$119,0))</x:f>
        <x:v>现代音频应用通知徽章与明黄鸡形吉祥物；清楚鸡冠、短喙、尾羽和圆角胸牌，参考播报员准备说话的头部动作，非机械钟表或黄铜机器人。 以NMV2_ABN_N04_01的新常态定稿核对轮廓与配色。</x:v>
      </x:c>
      <x:c r="G116" s="37" t="str">
        <x:f>INDEX('素材需求'!$B$8:$B$119,MATCH(B116,'素材需求'!$A$8:$A$119,0))</x:f>
        <x:v>P0常态</x:v>
      </x:c>
      <x:c r="H116" s="37" t="str">
        <x:v>游戏拆件／贴图</x:v>
      </x:c>
      <x:c r="I11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16" s="37" t="str">
        <x:v>art_delivery/nm_v2/abnormalities/</x:v>
      </x:c>
      <x:c r="K116" s="45" t="str">
        <x:v>待生成</x:v>
      </x:c>
      <x:c r="L116" s="37" t="str">
        <x:v>leg_right</x:v>
      </x:c>
    </x:row>
    <x:row r="117" ht="342.75" customHeight="1">
      <x:c r="A117" s="38" t="str">
        <x:f>INDEX('素材需求'!$D$8:$D$119,MATCH(B117,'素材需求'!$A$8:$A$119,0))&amp;IF(L117="","","_"&amp;L117)&amp;".png"</x:f>
        <x:v>nm_v2_abn_dingdong_chicken_base_parts_notification_badge.png</x:v>
      </x:c>
      <x:c r="B117" s="38" t="str">
        <x:v>NMV2_ABN_N04_02</x:v>
      </x:c>
      <x:c r="C117" s="38" t="str">
        <x:v>现代通知胸牌</x:v>
      </x:c>
      <x:c r="D117" s="38" t="str">
        <x:f>"【交付文件】"&amp;A117&amp;CHAR(10)&amp;"【本张任务】"&amp;C117&amp;CHAR(10)&amp;'生成规范'!$B$8&amp;CHAR(10)&amp;"【单张范围】"&amp;E117&amp;CHAR(10)&amp;"【本组造型约束】"&amp;INDEX('素材需求'!$F$8:$F$119,MATCH(B117,'素材需求'!$A$8:$A$119,0))&amp;CHAR(10)&amp;"【参考对象】"&amp;F117&amp;CHAR(10)&amp;"【制作规格】"&amp;I117&amp;"；"&amp;INDEX('素材需求'!$M$8:$M$119,MATCH(B117,'素材需求'!$A$8:$A$119,0))&amp;CHAR(10)&amp;"【颜色】"&amp;'生成规范'!$B$10&amp;"；"&amp;'生成规范'!$B$11&amp;CHAR(10)&amp;"【输出规则】"&amp;'生成规范'!$B$12&amp;" 后处理对齐尺寸与轴点；交付用途："&amp;H117&amp;CHAR(10)&amp;"【禁止项】"&amp;'生成规范'!$B$9&amp;"；"&amp;INDEX('素材需求'!$N$8:$N$119,MATCH(B117,'素材需求'!$A$8:$A$119,0))</x:f>
        <x:v>【交付文件】nm_v2_abn_dingdong_chicken_base_parts_notification_badge.png
【本张任务】现代通知胸牌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个现代圆角浅色通知胸牌，少量提示红和简洁铃形轮廓，留白无文字/数字，无链条、机械表针或角色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旧ABN_N04_04的clock_shell/长短指针三件停用，改为1张现代通知胸牌；常态总10件，另1张局部循环提示层。保持本体驻点广播，不把定稿动作解释为新移动能力。 每张只画units当前部件，头部/脸层分离，不能把组内完整角色或其他部件带入本张。
【参考对象】现代音频应用通知徽章与明黄鸡形吉祥物；清楚鸡冠、短喙、尾羽和圆角胸牌，参考播报员准备说话的头部动作，非机械钟表或黄铜机器人。 以NMV2_ABN_N04_01的新常态定稿核对轮廓与配色。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17" s="38" t="str">
        <x:v>只画本张：一个现代圆角浅色通知胸牌，少量提示红和简洁铃形轮廓，留白无文字/数字，无链条、机械表针或角色身体；单一交付对象/姿势，不含其他零件、对照姿势、sheet、文字、背景或地面投影。</x:v>
      </x:c>
      <x:c r="F117" s="38" t="str">
        <x:f>INDEX('素材需求'!$G$8:$G$119,MATCH(B117,'素材需求'!$A$8:$A$119,0))</x:f>
        <x:v>现代音频应用通知徽章与明黄鸡形吉祥物；清楚鸡冠、短喙、尾羽和圆角胸牌，参考播报员准备说话的头部动作，非机械钟表或黄铜机器人。 以NMV2_ABN_N04_01的新常态定稿核对轮廓与配色。</x:v>
      </x:c>
      <x:c r="G117" s="38" t="str">
        <x:f>INDEX('素材需求'!$B$8:$B$119,MATCH(B117,'素材需求'!$A$8:$A$119,0))</x:f>
        <x:v>P0常态</x:v>
      </x:c>
      <x:c r="H117" s="38" t="str">
        <x:v>游戏拆件／贴图</x:v>
      </x:c>
      <x:c r="I11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17" s="38" t="str">
        <x:v>art_delivery/nm_v2/abnormalities/</x:v>
      </x:c>
      <x:c r="K117" s="45" t="str">
        <x:v>待生成</x:v>
      </x:c>
      <x:c r="L117" s="38" t="str">
        <x:v>notification_badge</x:v>
      </x:c>
    </x:row>
    <x:row r="118" ht="328.5" customHeight="1">
      <x:c r="A118" s="37" t="str">
        <x:f>INDEX('素材需求'!$D$8:$D$119,MATCH(B118,'素材需求'!$A$8:$A$119,0))&amp;IF(L118="","","_"&amp;L118)&amp;".png"</x:f>
        <x:v>nm_v2_abn_dingdong_chicken_work_reference_nod.png</x:v>
      </x:c>
      <x:c r="B118" s="37" t="str">
        <x:v>NMV2_ABN_N04_03</x:v>
      </x:c>
      <x:c r="C118" s="37" t="str">
        <x:v>轻点头回应</x:v>
      </x:c>
      <x:c r="D118" s="37" t="str">
        <x:f>"【交付文件】"&amp;A118&amp;CHAR(10)&amp;"【本张任务】"&amp;C118&amp;CHAR(10)&amp;'生成规范'!$B$8&amp;CHAR(10)&amp;"【单张范围】"&amp;E118&amp;CHAR(10)&amp;"【本组造型约束】"&amp;INDEX('素材需求'!$F$8:$F$119,MATCH(B118,'素材需求'!$A$8:$A$119,0))&amp;CHAR(10)&amp;"【参考对象】"&amp;F118&amp;CHAR(10)&amp;"【制作规格】"&amp;I118&amp;"；"&amp;INDEX('素材需求'!$M$8:$M$119,MATCH(B118,'素材需求'!$A$8:$A$119,0))&amp;CHAR(10)&amp;"【颜色】"&amp;'生成规范'!$B$10&amp;"；"&amp;'生成规范'!$B$11&amp;CHAR(10)&amp;"【输出规则】"&amp;'生成规范'!$B$12&amp;" 后处理对齐尺寸与轴点；交付用途："&amp;H118&amp;CHAR(10)&amp;"【禁止项】"&amp;'生成规范'!$B$9&amp;"；"&amp;INDEX('素材需求'!$N$8:$N$119,MATCH(B118,'素材需求'!$A$8:$A$119,0))</x:f>
        <x:v>【交付文件】nm_v2_abn_dingdong_chicken_work_reference_nod.png
【本张任务】轻点头回应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【单张范围】只画本张：一只完整常态叮咚鸡闭喙轻微点头，通知胸牌保持常态，双脚站稳；单一交付对象/姿势，不含其他零件、对照姿势、sheet、文字、背景或地面投影。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【参考对象】现代音频应用通知徽章与明黄鸡形吉祥物；清楚鸡冠、短喙、尾羽和圆角胸牌，参考播报员准备说话的头部动作，非机械钟表或黄铜机器人。 参考温和的观察、回应或安抚互动；沿用NMV2_ABN_N04_01新造型，不画员工同框。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18" s="37" t="str">
        <x:v>只画本张：一只完整常态叮咚鸡闭喙轻微点头，通知胸牌保持常态，双脚站稳；单一交付对象/姿势，不含其他零件、对照姿势、sheet、文字、背景或地面投影。</x:v>
      </x:c>
      <x:c r="F118" s="37" t="str">
        <x:f>INDEX('素材需求'!$G$8:$G$119,MATCH(B118,'素材需求'!$A$8:$A$119,0))</x:f>
        <x:v>现代音频应用通知徽章与明黄鸡形吉祥物；清楚鸡冠、短喙、尾羽和圆角胸牌，参考播报员准备说话的头部动作，非机械钟表或黄铜机器人。 参考温和的观察、回应或安抚互动；沿用NMV2_ABN_N04_01新造型，不画员工同框。</x:v>
      </x:c>
      <x:c r="G118" s="37" t="str">
        <x:f>INDEX('素材需求'!$B$8:$B$119,MATCH(B118,'素材需求'!$A$8:$A$119,0))</x:f>
        <x:v>P0常态</x:v>
      </x:c>
      <x:c r="H118" s="37" t="str">
        <x:v>定稿／动作参考</x:v>
      </x:c>
      <x:c r="I11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18" s="37" t="str">
        <x:v>art_delivery/nm_v2/references/</x:v>
      </x:c>
      <x:c r="K118" s="45" t="str">
        <x:v>待生成</x:v>
      </x:c>
      <x:c r="L118" s="37" t="str">
        <x:v>nod</x:v>
      </x:c>
    </x:row>
    <x:row r="119" ht="328.5" customHeight="1">
      <x:c r="A119" s="38" t="str">
        <x:f>INDEX('素材需求'!$D$8:$D$119,MATCH(B119,'素材需求'!$A$8:$A$119,0))&amp;IF(L119="","","_"&amp;L119)&amp;".png"</x:f>
        <x:v>nm_v2_abn_dingdong_chicken_work_reference_wing_reply.png</x:v>
      </x:c>
      <x:c r="B119" s="38" t="str">
        <x:v>NMV2_ABN_N04_03</x:v>
      </x:c>
      <x:c r="C119" s="38" t="str">
        <x:v>抬翅交互回应</x:v>
      </x:c>
      <x:c r="D119" s="38" t="str">
        <x:f>"【交付文件】"&amp;A119&amp;CHAR(10)&amp;"【本张任务】"&amp;C119&amp;CHAR(10)&amp;'生成规范'!$B$8&amp;CHAR(10)&amp;"【单张范围】"&amp;E119&amp;CHAR(10)&amp;"【本组造型约束】"&amp;INDEX('素材需求'!$F$8:$F$119,MATCH(B119,'素材需求'!$A$8:$A$119,0))&amp;CHAR(10)&amp;"【参考对象】"&amp;F119&amp;CHAR(10)&amp;"【制作规格】"&amp;I119&amp;"；"&amp;INDEX('素材需求'!$M$8:$M$119,MATCH(B119,'素材需求'!$A$8:$A$119,0))&amp;CHAR(10)&amp;"【颜色】"&amp;'生成规范'!$B$10&amp;"；"&amp;'生成规范'!$B$11&amp;CHAR(10)&amp;"【输出规则】"&amp;'生成规范'!$B$12&amp;" 后处理对齐尺寸与轴点；交付用途："&amp;H119&amp;CHAR(10)&amp;"【禁止项】"&amp;'生成规范'!$B$9&amp;"；"&amp;INDEX('素材需求'!$N$8:$N$119,MATCH(B119,'素材需求'!$A$8:$A$119,0))</x:f>
        <x:v>【交付文件】nm_v2_abn_dingdong_chicken_work_reference_wing_reply.png
【本张任务】抬翅交互回应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【单张范围】只画本张：一只完整常态叮咚鸡小幅抬起一只翅膀回应，短喙略开，身体仍固定原位；单一交付对象/姿势，不含其他零件、对照姿势、sheet、文字、背景或地面投影。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【参考对象】现代音频应用通知徽章与明黄鸡形吉祥物；清楚鸡冠、短喙、尾羽和圆角胸牌，参考播报员准备说话的头部动作，非机械钟表或黄铜机器人。 参考温和的观察、回应或安抚互动；沿用NMV2_ABN_N04_01新造型，不画员工同框。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19" s="38" t="str">
        <x:v>只画本张：一只完整常态叮咚鸡小幅抬起一只翅膀回应，短喙略开，身体仍固定原位；单一交付对象/姿势，不含其他零件、对照姿势、sheet、文字、背景或地面投影。</x:v>
      </x:c>
      <x:c r="F119" s="38" t="str">
        <x:f>INDEX('素材需求'!$G$8:$G$119,MATCH(B119,'素材需求'!$A$8:$A$119,0))</x:f>
        <x:v>现代音频应用通知徽章与明黄鸡形吉祥物；清楚鸡冠、短喙、尾羽和圆角胸牌，参考播报员准备说话的头部动作，非机械钟表或黄铜机器人。 参考温和的观察、回应或安抚互动；沿用NMV2_ABN_N04_01新造型，不画员工同框。</x:v>
      </x:c>
      <x:c r="G119" s="38" t="str">
        <x:f>INDEX('素材需求'!$B$8:$B$119,MATCH(B119,'素材需求'!$A$8:$A$119,0))</x:f>
        <x:v>P0常态</x:v>
      </x:c>
      <x:c r="H119" s="38" t="str">
        <x:v>定稿／动作参考</x:v>
      </x:c>
      <x:c r="I11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19" s="38" t="str">
        <x:v>art_delivery/nm_v2/references/</x:v>
      </x:c>
      <x:c r="K119" s="45" t="str">
        <x:v>待生成</x:v>
      </x:c>
      <x:c r="L119" s="38" t="str">
        <x:v>wing_reply</x:v>
      </x:c>
    </x:row>
    <x:row r="120" ht="300" customHeight="1">
      <x:c r="A120" s="37" t="str">
        <x:f>INDEX('素材需求'!$D$8:$D$119,MATCH(B120,'素材需求'!$A$8:$A$119,0))&amp;IF(L120="","","_"&amp;L120)&amp;".png"</x:f>
        <x:v>nm_v2_abn_gugu_gaga_calm_identity_approved.png</x:v>
      </x:c>
      <x:c r="B120" s="37" t="str">
        <x:v>NMV2_ABN_N05_01</x:v>
      </x:c>
      <x:c r="C120" s="37" t="str">
        <x:v>常态完整形象</x:v>
      </x:c>
      <x:c r="D120" s="37" t="str">
        <x:f>"【交付文件】"&amp;A120&amp;CHAR(10)&amp;"【本张任务】"&amp;C120&amp;CHAR(10)&amp;'生成规范'!$B$8&amp;CHAR(10)&amp;"【单张范围】"&amp;E120&amp;CHAR(10)&amp;"【本组造型约束】"&amp;INDEX('素材需求'!$F$8:$F$119,MATCH(B120,'素材需求'!$A$8:$A$119,0))&amp;CHAR(10)&amp;"【参考对象】"&amp;F120&amp;CHAR(10)&amp;"【制作规格】"&amp;I120&amp;"；"&amp;INDEX('素材需求'!$M$8:$M$119,MATCH(B120,'素材需求'!$A$8:$A$119,0))&amp;CHAR(10)&amp;"【颜色】"&amp;'生成规范'!$B$10&amp;"；"&amp;'生成规范'!$B$11&amp;CHAR(10)&amp;"【输出规则】"&amp;'生成规范'!$B$12&amp;" 后处理对齐尺寸与轴点；交付用途："&amp;H120&amp;CHAR(10)&amp;"【禁止项】"&amp;'生成规范'!$B$9&amp;"；"&amp;INDEX('素材需求'!$N$8:$N$119,MATCH(B120,'素材需求'!$A$8:$A$119,0))</x:f>
        <x:v>【交付文件】nm_v2_abn_gugu_gaga_calm_identity_approved.png
【本张任务】常态完整形象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的咕咕嘎嘎常态形象，朝右自然待机；浅蓝与粉白的软质企鹅，短圆身体、浅色脸斑、正常眼睛、小喙、两只短鳍和稳固短足；现代轻软围巾保留既有动作挂点，像需要照顾而非可怕的幼态噪声源。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常态不绘失效气泡、花屏或警报。
【参考对象】浅蓝粉白软玩偶式企鹅、儿童拟声动画的情绪表情和轻软短围巾；保留正常眼球、短喙、短鳍，避免黑洞眼、错位长颈与阴冷幽灵形态。 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20" s="37" t="str">
        <x:v>只画本张：一只完整的咕咕嘎嘎常态形象，朝右自然待机；浅蓝与粉白的软质企鹅，短圆身体、浅色脸斑、正常眼睛、小喙、两只短鳍和稳固短足；现代轻软围巾保留既有动作挂点，像需要照顾而非可怕的幼态噪声源。；单一交付对象/姿势，不含其他零件、对照姿势、sheet、文字、背景或地面投影。</x:v>
      </x:c>
      <x:c r="F120" s="37" t="str">
        <x:f>INDEX('素材需求'!$G$8:$G$119,MATCH(B120,'素材需求'!$A$8:$A$119,0))</x:f>
        <x:v>浅蓝粉白软玩偶式企鹅、儿童拟声动画的情绪表情和轻软短围巾；保留正常眼球、短喙、短鳍，避免黑洞眼、错位长颈与阴冷幽灵形态。 </x:v>
      </x:c>
      <x:c r="G120" s="37" t="str">
        <x:f>INDEX('素材需求'!$B$8:$B$119,MATCH(B120,'素材需求'!$A$8:$A$119,0))</x:f>
        <x:v>P0常态</x:v>
      </x:c>
      <x:c r="H120" s="37" t="str">
        <x:v>定稿／动作参考</x:v>
      </x:c>
      <x:c r="I12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20" s="37" t="str">
        <x:v>art_delivery/nm_v2/references/</x:v>
      </x:c>
      <x:c r="K120" s="45" t="str">
        <x:v>待生成</x:v>
      </x:c>
      <x:c r="L120" s="37" t="str">
        <x:v>approved</x:v>
      </x:c>
    </x:row>
    <x:row r="121" ht="328.5" customHeight="1">
      <x:c r="A121" s="38" t="str">
        <x:f>INDEX('素材需求'!$D$8:$D$119,MATCH(B121,'素材需求'!$A$8:$A$119,0))&amp;IF(L121="","","_"&amp;L121)&amp;".png"</x:f>
        <x:v>nm_v2_abn_gugu_gaga_base_parts_body_belly.png</x:v>
      </x:c>
      <x:c r="B121" s="38" t="str">
        <x:v>NMV2_ABN_N05_02</x:v>
      </x:c>
      <x:c r="C121" s="38" t="str">
        <x:v>身体与粉白腹部</x:v>
      </x:c>
      <x:c r="D121" s="38" t="str">
        <x:f>"【交付文件】"&amp;A121&amp;CHAR(10)&amp;"【本张任务】"&amp;C121&amp;CHAR(10)&amp;'生成规范'!$B$8&amp;CHAR(10)&amp;"【单张范围】"&amp;E121&amp;CHAR(10)&amp;"【本组造型约束】"&amp;INDEX('素材需求'!$F$8:$F$119,MATCH(B121,'素材需求'!$A$8:$A$119,0))&amp;CHAR(10)&amp;"【参考对象】"&amp;F121&amp;CHAR(10)&amp;"【制作规格】"&amp;I121&amp;"；"&amp;INDEX('素材需求'!$M$8:$M$119,MATCH(B121,'素材需求'!$A$8:$A$119,0))&amp;CHAR(10)&amp;"【颜色】"&amp;'生成规范'!$B$10&amp;"；"&amp;'生成规范'!$B$11&amp;CHAR(10)&amp;"【输出规则】"&amp;'生成规范'!$B$12&amp;" 后处理对齐尺寸与轴点；交付用途："&amp;H121&amp;CHAR(10)&amp;"【禁止项】"&amp;'生成规范'!$B$9&amp;"；"&amp;INDEX('素材需求'!$N$8:$N$119,MATCH(B121,'素材需求'!$A$8:$A$119,0))</x:f>
        <x:v>【交付文件】nm_v2_abn_gugu_gaga_base_parts_body_belly.png
【本张任务】身体与粉白腹部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【单张范围】只画本张：浅蓝短圆企鹅躯干与粉白腹部，肩根和腿根可接，无头、鳍或足；单一交付对象/姿势，不含其他零件、对照姿势、sheet、文字、背景或地面投影。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21" s="38" t="str">
        <x:v>只画本张：浅蓝短圆企鹅躯干与粉白腹部，肩根和腿根可接，无头、鳍或足；单一交付对象/姿势，不含其他零件、对照姿势、sheet、文字、背景或地面投影。</x:v>
      </x:c>
      <x:c r="F121" s="38" t="str">
        <x:f>INDEX('素材需求'!$G$8:$G$119,MATCH(B121,'素材需求'!$A$8:$A$119,0))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21" s="38" t="str">
        <x:f>INDEX('素材需求'!$B$8:$B$119,MATCH(B121,'素材需求'!$A$8:$A$119,0))</x:f>
        <x:v>P0常态</x:v>
      </x:c>
      <x:c r="H121" s="38" t="str">
        <x:v>游戏拆件／贴图</x:v>
      </x:c>
      <x:c r="I12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21" s="38" t="str">
        <x:v>art_delivery/nm_v2/abnormalities/</x:v>
      </x:c>
      <x:c r="K121" s="45" t="str">
        <x:v>待生成</x:v>
      </x:c>
      <x:c r="L121" s="38" t="str">
        <x:v>body_belly</x:v>
      </x:c>
    </x:row>
    <x:row r="122" ht="328.5" customHeight="1">
      <x:c r="A122" s="37" t="str">
        <x:f>INDEX('素材需求'!$D$8:$D$119,MATCH(B122,'素材需求'!$A$8:$A$119,0))&amp;IF(L122="","","_"&amp;L122)&amp;".png"</x:f>
        <x:v>nm_v2_abn_gugu_gaga_base_parts_head_face_patch.png</x:v>
      </x:c>
      <x:c r="B122" s="37" t="str">
        <x:v>NMV2_ABN_N05_02</x:v>
      </x:c>
      <x:c r="C122" s="37" t="str">
        <x:v>头与浅色脸斑</x:v>
      </x:c>
      <x:c r="D122" s="37" t="str">
        <x:f>"【交付文件】"&amp;A122&amp;CHAR(10)&amp;"【本张任务】"&amp;C122&amp;CHAR(10)&amp;'生成规范'!$B$8&amp;CHAR(10)&amp;"【单张范围】"&amp;E122&amp;CHAR(10)&amp;"【本组造型约束】"&amp;INDEX('素材需求'!$F$8:$F$119,MATCH(B122,'素材需求'!$A$8:$A$119,0))&amp;CHAR(10)&amp;"【参考对象】"&amp;F122&amp;CHAR(10)&amp;"【制作规格】"&amp;I122&amp;"；"&amp;INDEX('素材需求'!$M$8:$M$119,MATCH(B122,'素材需求'!$A$8:$A$119,0))&amp;CHAR(10)&amp;"【颜色】"&amp;'生成规范'!$B$10&amp;"；"&amp;'生成规范'!$B$11&amp;CHAR(10)&amp;"【输出规则】"&amp;'生成规范'!$B$12&amp;" 后处理对齐尺寸与轴点；交付用途："&amp;H122&amp;CHAR(10)&amp;"【禁止项】"&amp;'生成规范'!$B$9&amp;"；"&amp;INDEX('素材需求'!$N$8:$N$119,MATCH(B122,'素材需求'!$A$8:$A$119,0))</x:f>
        <x:v>【交付文件】nm_v2_abn_gugu_gaga_base_parts_head_face_patch.png
【本张任务】头与浅色脸斑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【单张范围】只画本张：短圆企鹅头及粉白脸斑，眼睛与喙区留空，无眼、喙或身体；单一交付对象/姿势，不含其他零件、对照姿势、sheet、文字、背景或地面投影。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22" s="37" t="str">
        <x:v>只画本张：短圆企鹅头及粉白脸斑，眼睛与喙区留空，无眼、喙或身体；单一交付对象/姿势，不含其他零件、对照姿势、sheet、文字、背景或地面投影。</x:v>
      </x:c>
      <x:c r="F122" s="37" t="str">
        <x:f>INDEX('素材需求'!$G$8:$G$119,MATCH(B122,'素材需求'!$A$8:$A$119,0))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22" s="37" t="str">
        <x:f>INDEX('素材需求'!$B$8:$B$119,MATCH(B122,'素材需求'!$A$8:$A$119,0))</x:f>
        <x:v>P0常态</x:v>
      </x:c>
      <x:c r="H122" s="37" t="str">
        <x:v>游戏拆件／贴图</x:v>
      </x:c>
      <x:c r="I12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22" s="37" t="str">
        <x:v>art_delivery/nm_v2/abnormalities/</x:v>
      </x:c>
      <x:c r="K122" s="45" t="str">
        <x:v>待生成</x:v>
      </x:c>
      <x:c r="L122" s="37" t="str">
        <x:v>head_face_patch</x:v>
      </x:c>
    </x:row>
    <x:row r="123" ht="328.5" customHeight="1">
      <x:c r="A123" s="38" t="str">
        <x:f>INDEX('素材需求'!$D$8:$D$119,MATCH(B123,'素材需求'!$A$8:$A$119,0))&amp;IF(L123="","","_"&amp;L123)&amp;".png"</x:f>
        <x:v>nm_v2_abn_gugu_gaga_base_parts_eyes.png</x:v>
      </x:c>
      <x:c r="B123" s="38" t="str">
        <x:v>NMV2_ABN_N05_02</x:v>
      </x:c>
      <x:c r="C123" s="38" t="str">
        <x:v>常态双眼层</x:v>
      </x:c>
      <x:c r="D123" s="38" t="str">
        <x:f>"【交付文件】"&amp;A123&amp;CHAR(10)&amp;"【本张任务】"&amp;C123&amp;CHAR(10)&amp;'生成规范'!$B$8&amp;CHAR(10)&amp;"【单张范围】"&amp;E123&amp;CHAR(10)&amp;"【本组造型约束】"&amp;INDEX('素材需求'!$F$8:$F$119,MATCH(B123,'素材需求'!$A$8:$A$119,0))&amp;CHAR(10)&amp;"【参考对象】"&amp;F123&amp;CHAR(10)&amp;"【制作规格】"&amp;I123&amp;"；"&amp;INDEX('素材需求'!$M$8:$M$119,MATCH(B123,'素材需求'!$A$8:$A$119,0))&amp;CHAR(10)&amp;"【颜色】"&amp;'生成规范'!$B$10&amp;"；"&amp;'生成规范'!$B$11&amp;CHAR(10)&amp;"【输出规则】"&amp;'生成规范'!$B$12&amp;" 后处理对齐尺寸与轴点；交付用途："&amp;H123&amp;CHAR(10)&amp;"【禁止项】"&amp;'生成规范'!$B$9&amp;"；"&amp;INDEX('素材需求'!$N$8:$N$119,MATCH(B123,'素材需求'!$A$8:$A$119,0))</x:f>
        <x:v>【交付文件】nm_v2_abn_gugu_gaga_base_parts_eyes.png
【本张任务】常态双眼层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【单张范围】只画本张：一对正常可亲企鹅眼睛和轻微眉线，透明底，无头部底色或嘴；单一交付对象/姿势，不含其他零件、对照姿势、sheet、文字、背景或地面投影。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23" s="38" t="str">
        <x:v>只画本张：一对正常可亲企鹅眼睛和轻微眉线，透明底，无头部底色或嘴；单一交付对象/姿势，不含其他零件、对照姿势、sheet、文字、背景或地面投影。</x:v>
      </x:c>
      <x:c r="F123" s="38" t="str">
        <x:f>INDEX('素材需求'!$G$8:$G$119,MATCH(B123,'素材需求'!$A$8:$A$119,0))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23" s="38" t="str">
        <x:f>INDEX('素材需求'!$B$8:$B$119,MATCH(B123,'素材需求'!$A$8:$A$119,0))</x:f>
        <x:v>P0常态</x:v>
      </x:c>
      <x:c r="H123" s="38" t="str">
        <x:v>游戏拆件／贴图</x:v>
      </x:c>
      <x:c r="I12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23" s="38" t="str">
        <x:v>art_delivery/nm_v2/abnormalities/</x:v>
      </x:c>
      <x:c r="K123" s="45" t="str">
        <x:v>待生成</x:v>
      </x:c>
      <x:c r="L123" s="38" t="str">
        <x:v>eyes</x:v>
      </x:c>
    </x:row>
    <x:row r="124" ht="328.5" customHeight="1">
      <x:c r="A124" s="37" t="str">
        <x:f>INDEX('素材需求'!$D$8:$D$119,MATCH(B124,'素材需求'!$A$8:$A$119,0))&amp;IF(L124="","","_"&amp;L124)&amp;".png"</x:f>
        <x:v>nm_v2_abn_gugu_gaga_base_parts_upper_beak.png</x:v>
      </x:c>
      <x:c r="B124" s="37" t="str">
        <x:v>NMV2_ABN_N05_02</x:v>
      </x:c>
      <x:c r="C124" s="37" t="str">
        <x:v>小上喙</x:v>
      </x:c>
      <x:c r="D124" s="37" t="str">
        <x:f>"【交付文件】"&amp;A124&amp;CHAR(10)&amp;"【本张任务】"&amp;C124&amp;CHAR(10)&amp;'生成规范'!$B$8&amp;CHAR(10)&amp;"【单张范围】"&amp;E124&amp;CHAR(10)&amp;"【本组造型约束】"&amp;INDEX('素材需求'!$F$8:$F$119,MATCH(B124,'素材需求'!$A$8:$A$119,0))&amp;CHAR(10)&amp;"【参考对象】"&amp;F124&amp;CHAR(10)&amp;"【制作规格】"&amp;I124&amp;"；"&amp;INDEX('素材需求'!$M$8:$M$119,MATCH(B124,'素材需求'!$A$8:$A$119,0))&amp;CHAR(10)&amp;"【颜色】"&amp;'生成规范'!$B$10&amp;"；"&amp;'生成规范'!$B$11&amp;CHAR(10)&amp;"【输出规则】"&amp;'生成规范'!$B$12&amp;" 后处理对齐尺寸与轴点；交付用途："&amp;H124&amp;CHAR(10)&amp;"【禁止项】"&amp;'生成规范'!$B$9&amp;"；"&amp;INDEX('素材需求'!$N$8:$N$119,MATCH(B124,'素材需求'!$A$8:$A$119,0))</x:f>
        <x:v>【交付文件】nm_v2_abn_gugu_gaga_base_parts_upper_beak.png
【本张任务】小上喙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【单张范围】只画本张：一只正常短小上喙，柔和橙色、铰点明确，无头或下喙；单一交付对象/姿势，不含其他零件、对照姿势、sheet、文字、背景或地面投影。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24" s="37" t="str">
        <x:v>只画本张：一只正常短小上喙，柔和橙色、铰点明确，无头或下喙；单一交付对象/姿势，不含其他零件、对照姿势、sheet、文字、背景或地面投影。</x:v>
      </x:c>
      <x:c r="F124" s="37" t="str">
        <x:f>INDEX('素材需求'!$G$8:$G$119,MATCH(B124,'素材需求'!$A$8:$A$119,0))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24" s="37" t="str">
        <x:f>INDEX('素材需求'!$B$8:$B$119,MATCH(B124,'素材需求'!$A$8:$A$119,0))</x:f>
        <x:v>P0常态</x:v>
      </x:c>
      <x:c r="H124" s="37" t="str">
        <x:v>游戏拆件／贴图</x:v>
      </x:c>
      <x:c r="I12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24" s="37" t="str">
        <x:v>art_delivery/nm_v2/abnormalities/</x:v>
      </x:c>
      <x:c r="K124" s="45" t="str">
        <x:v>待生成</x:v>
      </x:c>
      <x:c r="L124" s="37" t="str">
        <x:v>upper_beak</x:v>
      </x:c>
    </x:row>
    <x:row r="125" ht="328.5" customHeight="1">
      <x:c r="A125" s="38" t="str">
        <x:f>INDEX('素材需求'!$D$8:$D$119,MATCH(B125,'素材需求'!$A$8:$A$119,0))&amp;IF(L125="","","_"&amp;L125)&amp;".png"</x:f>
        <x:v>nm_v2_abn_gugu_gaga_base_parts_lower_beak.png</x:v>
      </x:c>
      <x:c r="B125" s="38" t="str">
        <x:v>NMV2_ABN_N05_02</x:v>
      </x:c>
      <x:c r="C125" s="38" t="str">
        <x:v>小下喙</x:v>
      </x:c>
      <x:c r="D125" s="38" t="str">
        <x:f>"【交付文件】"&amp;A125&amp;CHAR(10)&amp;"【本张任务】"&amp;C125&amp;CHAR(10)&amp;'生成规范'!$B$8&amp;CHAR(10)&amp;"【单张范围】"&amp;E125&amp;CHAR(10)&amp;"【本组造型约束】"&amp;INDEX('素材需求'!$F$8:$F$119,MATCH(B125,'素材需求'!$A$8:$A$119,0))&amp;CHAR(10)&amp;"【参考对象】"&amp;F125&amp;CHAR(10)&amp;"【制作规格】"&amp;I125&amp;"；"&amp;INDEX('素材需求'!$M$8:$M$119,MATCH(B125,'素材需求'!$A$8:$A$119,0))&amp;CHAR(10)&amp;"【颜色】"&amp;'生成规范'!$B$10&amp;"；"&amp;'生成规范'!$B$11&amp;CHAR(10)&amp;"【输出规则】"&amp;'生成规范'!$B$12&amp;" 后处理对齐尺寸与轴点；交付用途："&amp;H125&amp;CHAR(10)&amp;"【禁止项】"&amp;'生成规范'!$B$9&amp;"；"&amp;INDEX('素材需求'!$N$8:$N$119,MATCH(B125,'素材需求'!$A$8:$A$119,0))</x:f>
        <x:v>【交付文件】nm_v2_abn_gugu_gaga_base_parts_lower_beak.png
【本张任务】小下喙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【单张范围】只画本张：一只正常短小下喙，可小角度开合，圆钝边缘，无上喙或头；单一交付对象/姿势，不含其他零件、对照姿势、sheet、文字、背景或地面投影。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25" s="38" t="str">
        <x:v>只画本张：一只正常短小下喙，可小角度开合，圆钝边缘，无上喙或头；单一交付对象/姿势，不含其他零件、对照姿势、sheet、文字、背景或地面投影。</x:v>
      </x:c>
      <x:c r="F125" s="38" t="str">
        <x:f>INDEX('素材需求'!$G$8:$G$119,MATCH(B125,'素材需求'!$A$8:$A$119,0))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25" s="38" t="str">
        <x:f>INDEX('素材需求'!$B$8:$B$119,MATCH(B125,'素材需求'!$A$8:$A$119,0))</x:f>
        <x:v>P0常态</x:v>
      </x:c>
      <x:c r="H125" s="38" t="str">
        <x:v>游戏拆件／贴图</x:v>
      </x:c>
      <x:c r="I12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25" s="38" t="str">
        <x:v>art_delivery/nm_v2/abnormalities/</x:v>
      </x:c>
      <x:c r="K125" s="45" t="str">
        <x:v>待生成</x:v>
      </x:c>
      <x:c r="L125" s="38" t="str">
        <x:v>lower_beak</x:v>
      </x:c>
    </x:row>
    <x:row r="126" ht="328.5" customHeight="1">
      <x:c r="A126" s="37" t="str">
        <x:f>INDEX('素材需求'!$D$8:$D$119,MATCH(B126,'素材需求'!$A$8:$A$119,0))&amp;IF(L126="","","_"&amp;L126)&amp;".png"</x:f>
        <x:v>nm_v2_abn_gugu_gaga_base_parts_flipper_left.png</x:v>
      </x:c>
      <x:c r="B126" s="37" t="str">
        <x:v>NMV2_ABN_N05_02</x:v>
      </x:c>
      <x:c r="C126" s="37" t="str">
        <x:v>远侧短鳍</x:v>
      </x:c>
      <x:c r="D126" s="37" t="str">
        <x:f>"【交付文件】"&amp;A126&amp;CHAR(10)&amp;"【本张任务】"&amp;C126&amp;CHAR(10)&amp;'生成规范'!$B$8&amp;CHAR(10)&amp;"【单张范围】"&amp;E126&amp;CHAR(10)&amp;"【本组造型约束】"&amp;INDEX('素材需求'!$F$8:$F$119,MATCH(B126,'素材需求'!$A$8:$A$119,0))&amp;CHAR(10)&amp;"【参考对象】"&amp;F126&amp;CHAR(10)&amp;"【制作规格】"&amp;I126&amp;"；"&amp;INDEX('素材需求'!$M$8:$M$119,MATCH(B126,'素材需求'!$A$8:$A$119,0))&amp;CHAR(10)&amp;"【颜色】"&amp;'生成规范'!$B$10&amp;"；"&amp;'生成规范'!$B$11&amp;CHAR(10)&amp;"【输出规则】"&amp;'生成规范'!$B$12&amp;" 后处理对齐尺寸与轴点；交付用途："&amp;H126&amp;CHAR(10)&amp;"【禁止项】"&amp;'生成规范'!$B$9&amp;"；"&amp;INDEX('素材需求'!$N$8:$N$119,MATCH(B126,'素材需求'!$A$8:$A$119,0))</x:f>
        <x:v>【交付文件】nm_v2_abn_gugu_gaga_base_parts_flipper_left.png
【本张任务】远侧短鳍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【单张范围】只画本张：远侧浅蓝短鳍，鳍根余量完整，无躯干；单一交付对象/姿势，不含其他零件、对照姿势、sheet、文字、背景或地面投影。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26" s="37" t="str">
        <x:v>只画本张：远侧浅蓝短鳍，鳍根余量完整，无躯干；单一交付对象/姿势，不含其他零件、对照姿势、sheet、文字、背景或地面投影。</x:v>
      </x:c>
      <x:c r="F126" s="37" t="str">
        <x:f>INDEX('素材需求'!$G$8:$G$119,MATCH(B126,'素材需求'!$A$8:$A$119,0))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26" s="37" t="str">
        <x:f>INDEX('素材需求'!$B$8:$B$119,MATCH(B126,'素材需求'!$A$8:$A$119,0))</x:f>
        <x:v>P0常态</x:v>
      </x:c>
      <x:c r="H126" s="37" t="str">
        <x:v>游戏拆件／贴图</x:v>
      </x:c>
      <x:c r="I12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26" s="37" t="str">
        <x:v>art_delivery/nm_v2/abnormalities/</x:v>
      </x:c>
      <x:c r="K126" s="45" t="str">
        <x:v>待生成</x:v>
      </x:c>
      <x:c r="L126" s="37" t="str">
        <x:v>flipper_left</x:v>
      </x:c>
    </x:row>
    <x:row r="127" ht="328.5" customHeight="1">
      <x:c r="A127" s="38" t="str">
        <x:f>INDEX('素材需求'!$D$8:$D$119,MATCH(B127,'素材需求'!$A$8:$A$119,0))&amp;IF(L127="","","_"&amp;L127)&amp;".png"</x:f>
        <x:v>nm_v2_abn_gugu_gaga_base_parts_flipper_right.png</x:v>
      </x:c>
      <x:c r="B127" s="38" t="str">
        <x:v>NMV2_ABN_N05_02</x:v>
      </x:c>
      <x:c r="C127" s="38" t="str">
        <x:v>近侧短鳍</x:v>
      </x:c>
      <x:c r="D127" s="38" t="str">
        <x:f>"【交付文件】"&amp;A127&amp;CHAR(10)&amp;"【本张任务】"&amp;C127&amp;CHAR(10)&amp;'生成规范'!$B$8&amp;CHAR(10)&amp;"【单张范围】"&amp;E127&amp;CHAR(10)&amp;"【本组造型约束】"&amp;INDEX('素材需求'!$F$8:$F$119,MATCH(B127,'素材需求'!$A$8:$A$119,0))&amp;CHAR(10)&amp;"【参考对象】"&amp;F127&amp;CHAR(10)&amp;"【制作规格】"&amp;I127&amp;"；"&amp;INDEX('素材需求'!$M$8:$M$119,MATCH(B127,'素材需求'!$A$8:$A$119,0))&amp;CHAR(10)&amp;"【颜色】"&amp;'生成规范'!$B$10&amp;"；"&amp;'生成规范'!$B$11&amp;CHAR(10)&amp;"【输出规则】"&amp;'生成规范'!$B$12&amp;" 后处理对齐尺寸与轴点；交付用途："&amp;H127&amp;CHAR(10)&amp;"【禁止项】"&amp;'生成规范'!$B$9&amp;"；"&amp;INDEX('素材需求'!$N$8:$N$119,MATCH(B127,'素材需求'!$A$8:$A$119,0))</x:f>
        <x:v>【交付文件】nm_v2_abn_gugu_gaga_base_parts_flipper_right.png
【本张任务】近侧短鳍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【单张范围】只画本张：近侧浅蓝短鳍，鳍根余量完整，无躯干；单一交付对象/姿势，不含其他零件、对照姿势、sheet、文字、背景或地面投影。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27" s="38" t="str">
        <x:v>只画本张：近侧浅蓝短鳍，鳍根余量完整，无躯干；单一交付对象/姿势，不含其他零件、对照姿势、sheet、文字、背景或地面投影。</x:v>
      </x:c>
      <x:c r="F127" s="38" t="str">
        <x:f>INDEX('素材需求'!$G$8:$G$119,MATCH(B127,'素材需求'!$A$8:$A$119,0))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27" s="38" t="str">
        <x:f>INDEX('素材需求'!$B$8:$B$119,MATCH(B127,'素材需求'!$A$8:$A$119,0))</x:f>
        <x:v>P0常态</x:v>
      </x:c>
      <x:c r="H127" s="38" t="str">
        <x:v>游戏拆件／贴图</x:v>
      </x:c>
      <x:c r="I12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27" s="38" t="str">
        <x:v>art_delivery/nm_v2/abnormalities/</x:v>
      </x:c>
      <x:c r="K127" s="45" t="str">
        <x:v>待生成</x:v>
      </x:c>
      <x:c r="L127" s="38" t="str">
        <x:v>flipper_right</x:v>
      </x:c>
    </x:row>
    <x:row r="128" ht="328.5" customHeight="1">
      <x:c r="A128" s="37" t="str">
        <x:f>INDEX('素材需求'!$D$8:$D$119,MATCH(B128,'素材需求'!$A$8:$A$119,0))&amp;IF(L128="","","_"&amp;L128)&amp;".png"</x:f>
        <x:v>nm_v2_abn_gugu_gaga_base_parts_foot_left.png</x:v>
      </x:c>
      <x:c r="B128" s="37" t="str">
        <x:v>NMV2_ABN_N05_02</x:v>
      </x:c>
      <x:c r="C128" s="37" t="str">
        <x:v>远侧短足</x:v>
      </x:c>
      <x:c r="D128" s="37" t="str">
        <x:f>"【交付文件】"&amp;A128&amp;CHAR(10)&amp;"【本张任务】"&amp;C128&amp;CHAR(10)&amp;'生成规范'!$B$8&amp;CHAR(10)&amp;"【单张范围】"&amp;E128&amp;CHAR(10)&amp;"【本组造型约束】"&amp;INDEX('素材需求'!$F$8:$F$119,MATCH(B128,'素材需求'!$A$8:$A$119,0))&amp;CHAR(10)&amp;"【参考对象】"&amp;F128&amp;CHAR(10)&amp;"【制作规格】"&amp;I128&amp;"；"&amp;INDEX('素材需求'!$M$8:$M$119,MATCH(B128,'素材需求'!$A$8:$A$119,0))&amp;CHAR(10)&amp;"【颜色】"&amp;'生成规范'!$B$10&amp;"；"&amp;'生成规范'!$B$11&amp;CHAR(10)&amp;"【输出规则】"&amp;'生成规范'!$B$12&amp;" 后处理对齐尺寸与轴点；交付用途："&amp;H128&amp;CHAR(10)&amp;"【禁止项】"&amp;'生成规范'!$B$9&amp;"；"&amp;INDEX('素材需求'!$N$8:$N$119,MATCH(B128,'素材需求'!$A$8:$A$119,0))</x:f>
        <x:v>【交付文件】nm_v2_abn_gugu_gaga_base_parts_foot_left.png
【本张任务】远侧短足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【单张范围】只画本张：远侧柔和橙色企鹅短足，足底明确，无腿长或躯干；单一交付对象/姿势，不含其他零件、对照姿势、sheet、文字、背景或地面投影。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28" s="37" t="str">
        <x:v>只画本张：远侧柔和橙色企鹅短足，足底明确，无腿长或躯干；单一交付对象/姿势，不含其他零件、对照姿势、sheet、文字、背景或地面投影。</x:v>
      </x:c>
      <x:c r="F128" s="37" t="str">
        <x:f>INDEX('素材需求'!$G$8:$G$119,MATCH(B128,'素材需求'!$A$8:$A$119,0))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28" s="37" t="str">
        <x:f>INDEX('素材需求'!$B$8:$B$119,MATCH(B128,'素材需求'!$A$8:$A$119,0))</x:f>
        <x:v>P0常态</x:v>
      </x:c>
      <x:c r="H128" s="37" t="str">
        <x:v>游戏拆件／贴图</x:v>
      </x:c>
      <x:c r="I12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28" s="37" t="str">
        <x:v>art_delivery/nm_v2/abnormalities/</x:v>
      </x:c>
      <x:c r="K128" s="45" t="str">
        <x:v>待生成</x:v>
      </x:c>
      <x:c r="L128" s="37" t="str">
        <x:v>foot_left</x:v>
      </x:c>
    </x:row>
    <x:row r="129" ht="328.5" customHeight="1">
      <x:c r="A129" s="38" t="str">
        <x:f>INDEX('素材需求'!$D$8:$D$119,MATCH(B129,'素材需求'!$A$8:$A$119,0))&amp;IF(L129="","","_"&amp;L129)&amp;".png"</x:f>
        <x:v>nm_v2_abn_gugu_gaga_base_parts_foot_right.png</x:v>
      </x:c>
      <x:c r="B129" s="38" t="str">
        <x:v>NMV2_ABN_N05_02</x:v>
      </x:c>
      <x:c r="C129" s="38" t="str">
        <x:v>近侧短足</x:v>
      </x:c>
      <x:c r="D129" s="38" t="str">
        <x:f>"【交付文件】"&amp;A129&amp;CHAR(10)&amp;"【本张任务】"&amp;C129&amp;CHAR(10)&amp;'生成规范'!$B$8&amp;CHAR(10)&amp;"【单张范围】"&amp;E129&amp;CHAR(10)&amp;"【本组造型约束】"&amp;INDEX('素材需求'!$F$8:$F$119,MATCH(B129,'素材需求'!$A$8:$A$119,0))&amp;CHAR(10)&amp;"【参考对象】"&amp;F129&amp;CHAR(10)&amp;"【制作规格】"&amp;I129&amp;"；"&amp;INDEX('素材需求'!$M$8:$M$119,MATCH(B129,'素材需求'!$A$8:$A$119,0))&amp;CHAR(10)&amp;"【颜色】"&amp;'生成规范'!$B$10&amp;"；"&amp;'生成规范'!$B$11&amp;CHAR(10)&amp;"【输出规则】"&amp;'生成规范'!$B$12&amp;" 后处理对齐尺寸与轴点；交付用途："&amp;H129&amp;CHAR(10)&amp;"【禁止项】"&amp;'生成规范'!$B$9&amp;"；"&amp;INDEX('素材需求'!$N$8:$N$119,MATCH(B129,'素材需求'!$A$8:$A$119,0))</x:f>
        <x:v>【交付文件】nm_v2_abn_gugu_gaga_base_parts_foot_right.png
【本张任务】近侧短足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【单张范围】只画本张：近侧柔和橙色企鹅短足，足底明确，无腿长或躯干；单一交付对象/姿势，不含其他零件、对照姿势、sheet、文字、背景或地面投影。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29" s="38" t="str">
        <x:v>只画本张：近侧柔和橙色企鹅短足，足底明确，无腿长或躯干；单一交付对象/姿势，不含其他零件、对照姿势、sheet、文字、背景或地面投影。</x:v>
      </x:c>
      <x:c r="F129" s="38" t="str">
        <x:f>INDEX('素材需求'!$G$8:$G$119,MATCH(B129,'素材需求'!$A$8:$A$119,0))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29" s="38" t="str">
        <x:f>INDEX('素材需求'!$B$8:$B$119,MATCH(B129,'素材需求'!$A$8:$A$119,0))</x:f>
        <x:v>P0常态</x:v>
      </x:c>
      <x:c r="H129" s="38" t="str">
        <x:v>游戏拆件／贴图</x:v>
      </x:c>
      <x:c r="I12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29" s="38" t="str">
        <x:v>art_delivery/nm_v2/abnormalities/</x:v>
      </x:c>
      <x:c r="K129" s="45" t="str">
        <x:v>待生成</x:v>
      </x:c>
      <x:c r="L129" s="38" t="str">
        <x:v>foot_right</x:v>
      </x:c>
    </x:row>
    <x:row r="130" ht="328.5" customHeight="1">
      <x:c r="A130" s="37" t="str">
        <x:f>INDEX('素材需求'!$D$8:$D$119,MATCH(B130,'素材需求'!$A$8:$A$119,0))&amp;IF(L130="","","_"&amp;L130)&amp;".png"</x:f>
        <x:v>nm_v2_abn_gugu_gaga_base_parts_scarf_collar.png</x:v>
      </x:c>
      <x:c r="B130" s="37" t="str">
        <x:v>NMV2_ABN_N05_02</x:v>
      </x:c>
      <x:c r="C130" s="37" t="str">
        <x:v>围巾领圈</x:v>
      </x:c>
      <x:c r="D130" s="37" t="str">
        <x:f>"【交付文件】"&amp;A130&amp;CHAR(10)&amp;"【本张任务】"&amp;C130&amp;CHAR(10)&amp;'生成规范'!$B$8&amp;CHAR(10)&amp;"【单张范围】"&amp;E130&amp;CHAR(10)&amp;"【本组造型约束】"&amp;INDEX('素材需求'!$F$8:$F$119,MATCH(B130,'素材需求'!$A$8:$A$119,0))&amp;CHAR(10)&amp;"【参考对象】"&amp;F130&amp;CHAR(10)&amp;"【制作规格】"&amp;I130&amp;"；"&amp;INDEX('素材需求'!$M$8:$M$119,MATCH(B130,'素材需求'!$A$8:$A$119,0))&amp;CHAR(10)&amp;"【颜色】"&amp;'生成规范'!$B$10&amp;"；"&amp;'生成规范'!$B$11&amp;CHAR(10)&amp;"【输出规则】"&amp;'生成规范'!$B$12&amp;" 后处理对齐尺寸与轴点；交付用途："&amp;H130&amp;CHAR(10)&amp;"【禁止项】"&amp;'生成规范'!$B$9&amp;"；"&amp;INDEX('素材需求'!$N$8:$N$119,MATCH(B130,'素材需求'!$A$8:$A$119,0))</x:f>
        <x:v>【交付文件】nm_v2_abn_gugu_gaga_base_parts_scarf_collar.png
【本张任务】围巾领圈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【单张范围】只画本张：一段柔软粉白围巾领圈，颈部前后层边界明确，无头、身体或长垂片；单一交付对象/姿势，不含其他零件、对照姿势、sheet、文字、背景或地面投影。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30" s="37" t="str">
        <x:v>只画本张：一段柔软粉白围巾领圈，颈部前后层边界明确，无头、身体或长垂片；单一交付对象/姿势，不含其他零件、对照姿势、sheet、文字、背景或地面投影。</x:v>
      </x:c>
      <x:c r="F130" s="37" t="str">
        <x:f>INDEX('素材需求'!$G$8:$G$119,MATCH(B130,'素材需求'!$A$8:$A$119,0))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30" s="37" t="str">
        <x:f>INDEX('素材需求'!$B$8:$B$119,MATCH(B130,'素材需求'!$A$8:$A$119,0))</x:f>
        <x:v>P0常态</x:v>
      </x:c>
      <x:c r="H130" s="37" t="str">
        <x:v>游戏拆件／贴图</x:v>
      </x:c>
      <x:c r="I13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30" s="37" t="str">
        <x:v>art_delivery/nm_v2/abnormalities/</x:v>
      </x:c>
      <x:c r="K130" s="45" t="str">
        <x:v>待生成</x:v>
      </x:c>
      <x:c r="L130" s="37" t="str">
        <x:v>scarf_collar</x:v>
      </x:c>
    </x:row>
    <x:row r="131" ht="328.5" customHeight="1">
      <x:c r="A131" s="38" t="str">
        <x:f>INDEX('素材需求'!$D$8:$D$119,MATCH(B131,'素材需求'!$A$8:$A$119,0))&amp;IF(L131="","","_"&amp;L131)&amp;".png"</x:f>
        <x:v>nm_v2_abn_gugu_gaga_base_parts_scarf_long.png</x:v>
      </x:c>
      <x:c r="B131" s="38" t="str">
        <x:v>NMV2_ABN_N05_02</x:v>
      </x:c>
      <x:c r="C131" s="38" t="str">
        <x:v>围巾长垂片</x:v>
      </x:c>
      <x:c r="D131" s="38" t="str">
        <x:f>"【交付文件】"&amp;A131&amp;CHAR(10)&amp;"【本张任务】"&amp;C131&amp;CHAR(10)&amp;'生成规范'!$B$8&amp;CHAR(10)&amp;"【单张范围】"&amp;E131&amp;CHAR(10)&amp;"【本组造型约束】"&amp;INDEX('素材需求'!$F$8:$F$119,MATCH(B131,'素材需求'!$A$8:$A$119,0))&amp;CHAR(10)&amp;"【参考对象】"&amp;F131&amp;CHAR(10)&amp;"【制作规格】"&amp;I131&amp;"；"&amp;INDEX('素材需求'!$M$8:$M$119,MATCH(B131,'素材需求'!$A$8:$A$119,0))&amp;CHAR(10)&amp;"【颜色】"&amp;'生成规范'!$B$10&amp;"；"&amp;'生成规范'!$B$11&amp;CHAR(10)&amp;"【输出规则】"&amp;'生成规范'!$B$12&amp;" 后处理对齐尺寸与轴点；交付用途："&amp;H131&amp;CHAR(10)&amp;"【禁止项】"&amp;'生成规范'!$B$9&amp;"；"&amp;INDEX('素材需求'!$N$8:$N$119,MATCH(B131,'素材需求'!$A$8:$A$119,0))</x:f>
        <x:v>【交付文件】nm_v2_abn_gugu_gaga_base_parts_scarf_long.png
【本张任务】围巾长垂片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【单张范围】只画本张：一条围巾较长软垂片，根部清楚，不含领圈或身体；单一交付对象/姿势，不含其他零件、对照姿势、sheet、文字、背景或地面投影。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31" s="38" t="str">
        <x:v>只画本张：一条围巾较长软垂片，根部清楚，不含领圈或身体；单一交付对象/姿势，不含其他零件、对照姿势、sheet、文字、背景或地面投影。</x:v>
      </x:c>
      <x:c r="F131" s="38" t="str">
        <x:f>INDEX('素材需求'!$G$8:$G$119,MATCH(B131,'素材需求'!$A$8:$A$119,0))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31" s="38" t="str">
        <x:f>INDEX('素材需求'!$B$8:$B$119,MATCH(B131,'素材需求'!$A$8:$A$119,0))</x:f>
        <x:v>P0常态</x:v>
      </x:c>
      <x:c r="H131" s="38" t="str">
        <x:v>游戏拆件／贴图</x:v>
      </x:c>
      <x:c r="I13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31" s="38" t="str">
        <x:v>art_delivery/nm_v2/abnormalities/</x:v>
      </x:c>
      <x:c r="K131" s="45" t="str">
        <x:v>待生成</x:v>
      </x:c>
      <x:c r="L131" s="38" t="str">
        <x:v>scarf_long</x:v>
      </x:c>
    </x:row>
    <x:row r="132" ht="328.5" customHeight="1">
      <x:c r="A132" s="37" t="str">
        <x:f>INDEX('素材需求'!$D$8:$D$119,MATCH(B132,'素材需求'!$A$8:$A$119,0))&amp;IF(L132="","","_"&amp;L132)&amp;".png"</x:f>
        <x:v>nm_v2_abn_gugu_gaga_base_parts_scarf_short.png</x:v>
      </x:c>
      <x:c r="B132" s="37" t="str">
        <x:v>NMV2_ABN_N05_02</x:v>
      </x:c>
      <x:c r="C132" s="37" t="str">
        <x:v>围巾短垂片</x:v>
      </x:c>
      <x:c r="D132" s="37" t="str">
        <x:f>"【交付文件】"&amp;A132&amp;CHAR(10)&amp;"【本张任务】"&amp;C132&amp;CHAR(10)&amp;'生成规范'!$B$8&amp;CHAR(10)&amp;"【单张范围】"&amp;E132&amp;CHAR(10)&amp;"【本组造型约束】"&amp;INDEX('素材需求'!$F$8:$F$119,MATCH(B132,'素材需求'!$A$8:$A$119,0))&amp;CHAR(10)&amp;"【参考对象】"&amp;F132&amp;CHAR(10)&amp;"【制作规格】"&amp;I132&amp;"；"&amp;INDEX('素材需求'!$M$8:$M$119,MATCH(B132,'素材需求'!$A$8:$A$119,0))&amp;CHAR(10)&amp;"【颜色】"&amp;'生成规范'!$B$10&amp;"；"&amp;'生成规范'!$B$11&amp;CHAR(10)&amp;"【输出规则】"&amp;'生成规范'!$B$12&amp;" 后处理对齐尺寸与轴点；交付用途："&amp;H132&amp;CHAR(10)&amp;"【禁止项】"&amp;'生成规范'!$B$9&amp;"；"&amp;INDEX('素材需求'!$N$8:$N$119,MATCH(B132,'素材需求'!$A$8:$A$119,0))</x:f>
        <x:v>【交付文件】nm_v2_abn_gugu_gaga_base_parts_scarf_short.png
【本张任务】围巾短垂片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【单张范围】只画本张：一条围巾较短软垂片，根部清楚，不含领圈或身体；单一交付对象/姿势，不含其他零件、对照姿势、sheet、文字、背景或地面投影。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旧ABN_N05_04的恐怖拉伸与空眼停用；共用正常12件，闭合嘴改成普通上下喙铰接，另1张哭闹眼层。围巾三件沿用槽位，仅换现代软材质；残影由外部效果实现，不另生成多实体。 每张只画units当前部件，头部/脸层分离，不能把组内完整角色或其他部件带入本张。
【参考对象】浅蓝粉白软玩偶式企鹅、儿童拟声动画的情绪表情和轻软短围巾；保留正常眼球、短喙、短鳍，避免黑洞眼、错位长颈与阴冷幽灵形态。 以NMV2_ABN_N05_01的新常态定稿核对轮廓与配色。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32" s="37" t="str">
        <x:v>只画本张：一条围巾较短软垂片，根部清楚，不含领圈或身体；单一交付对象/姿势，不含其他零件、对照姿势、sheet、文字、背景或地面投影。</x:v>
      </x:c>
      <x:c r="F132" s="37" t="str">
        <x:f>INDEX('素材需求'!$G$8:$G$119,MATCH(B132,'素材需求'!$A$8:$A$119,0))</x:f>
        <x:v>浅蓝粉白软玩偶式企鹅、儿童拟声动画的情绪表情和轻软短围巾；保留正常眼球、短喙、短鳍，避免黑洞眼、错位长颈与阴冷幽灵形态。 以NMV2_ABN_N05_01的新常态定稿核对轮廓与配色。</x:v>
      </x:c>
      <x:c r="G132" s="37" t="str">
        <x:f>INDEX('素材需求'!$B$8:$B$119,MATCH(B132,'素材需求'!$A$8:$A$119,0))</x:f>
        <x:v>P0常态</x:v>
      </x:c>
      <x:c r="H132" s="37" t="str">
        <x:v>游戏拆件／贴图</x:v>
      </x:c>
      <x:c r="I13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32" s="37" t="str">
        <x:v>art_delivery/nm_v2/abnormalities/</x:v>
      </x:c>
      <x:c r="K132" s="45" t="str">
        <x:v>待生成</x:v>
      </x:c>
      <x:c r="L132" s="37" t="str">
        <x:v>scarf_short</x:v>
      </x:c>
    </x:row>
    <x:row r="133" ht="328.5" customHeight="1">
      <x:c r="A133" s="38" t="str">
        <x:f>INDEX('素材需求'!$D$8:$D$119,MATCH(B133,'素材需求'!$A$8:$A$119,0))&amp;IF(L133="","","_"&amp;L133)&amp;".png"</x:f>
        <x:v>nm_v2_abn_gugu_gaga_work_reference_flippers_up.png</x:v>
      </x:c>
      <x:c r="B133" s="38" t="str">
        <x:v>NMV2_ABN_N05_03</x:v>
      </x:c>
      <x:c r="C133" s="38" t="str">
        <x:v>举鳍回应</x:v>
      </x:c>
      <x:c r="D133" s="38" t="str">
        <x:f>"【交付文件】"&amp;A133&amp;CHAR(10)&amp;"【本张任务】"&amp;C133&amp;CHAR(10)&amp;'生成规范'!$B$8&amp;CHAR(10)&amp;"【单张范围】"&amp;E133&amp;CHAR(10)&amp;"【本组造型约束】"&amp;INDEX('素材需求'!$F$8:$F$119,MATCH(B133,'素材需求'!$A$8:$A$119,0))&amp;CHAR(10)&amp;"【参考对象】"&amp;F133&amp;CHAR(10)&amp;"【制作规格】"&amp;I133&amp;"；"&amp;INDEX('素材需求'!$M$8:$M$119,MATCH(B133,'素材需求'!$A$8:$A$119,0))&amp;CHAR(10)&amp;"【颜色】"&amp;'生成规范'!$B$10&amp;"；"&amp;'生成规范'!$B$11&amp;CHAR(10)&amp;"【输出规则】"&amp;'生成规范'!$B$12&amp;" 后处理对齐尺寸与轴点；交付用途："&amp;H133&amp;CHAR(10)&amp;"【禁止项】"&amp;'生成规范'!$B$9&amp;"；"&amp;INDEX('素材需求'!$N$8:$N$119,MATCH(B133,'素材需求'!$A$8:$A$119,0))</x:f>
        <x:v>【交付文件】nm_v2_abn_gugu_gaga_work_reference_flippers_up.png
【本张任务】举鳍回应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【单张范围】只画本张：一只完整常态咕咕嘎嘎轻举双短鳍看向员工，小喙闭合，双足稳定；单一交付对象/姿势，不含其他零件、对照姿势、sheet、文字、背景或地面投影。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【参考对象】浅蓝粉白软玩偶式企鹅、儿童拟声动画的情绪表情和轻软短围巾；保留正常眼球、短喙、短鳍，避免黑洞眼、错位长颈与阴冷幽灵形态。 参考温和的观察、回应或安抚互动；沿用NMV2_ABN_N05_01新造型，不画员工同框。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33" s="38" t="str">
        <x:v>只画本张：一只完整常态咕咕嘎嘎轻举双短鳍看向员工，小喙闭合，双足稳定；单一交付对象/姿势，不含其他零件、对照姿势、sheet、文字、背景或地面投影。</x:v>
      </x:c>
      <x:c r="F133" s="38" t="str">
        <x:f>INDEX('素材需求'!$G$8:$G$119,MATCH(B133,'素材需求'!$A$8:$A$119,0))</x:f>
        <x:v>浅蓝粉白软玩偶式企鹅、儿童拟声动画的情绪表情和轻软短围巾；保留正常眼球、短喙、短鳍，避免黑洞眼、错位长颈与阴冷幽灵形态。 参考温和的观察、回应或安抚互动；沿用NMV2_ABN_N05_01新造型，不画员工同框。</x:v>
      </x:c>
      <x:c r="G133" s="38" t="str">
        <x:f>INDEX('素材需求'!$B$8:$B$119,MATCH(B133,'素材需求'!$A$8:$A$119,0))</x:f>
        <x:v>P0常态</x:v>
      </x:c>
      <x:c r="H133" s="38" t="str">
        <x:v>定稿／动作参考</x:v>
      </x:c>
      <x:c r="I13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33" s="38" t="str">
        <x:v>art_delivery/nm_v2/references/</x:v>
      </x:c>
      <x:c r="K133" s="45" t="str">
        <x:v>待生成</x:v>
      </x:c>
      <x:c r="L133" s="38" t="str">
        <x:v>flippers_up</x:v>
      </x:c>
    </x:row>
    <x:row r="134" ht="328.5" customHeight="1">
      <x:c r="A134" s="37" t="str">
        <x:f>INDEX('素材需求'!$D$8:$D$119,MATCH(B134,'素材需求'!$A$8:$A$119,0))&amp;IF(L134="","","_"&amp;L134)&amp;".png"</x:f>
        <x:v>nm_v2_abn_gugu_gaga_work_reference_settled.png</x:v>
      </x:c>
      <x:c r="B134" s="37" t="str">
        <x:v>NMV2_ABN_N05_03</x:v>
      </x:c>
      <x:c r="C134" s="37" t="str">
        <x:v>安抚后放松</x:v>
      </x:c>
      <x:c r="D134" s="37" t="str">
        <x:f>"【交付文件】"&amp;A134&amp;CHAR(10)&amp;"【本张任务】"&amp;C134&amp;CHAR(10)&amp;'生成规范'!$B$8&amp;CHAR(10)&amp;"【单张范围】"&amp;E134&amp;CHAR(10)&amp;"【本组造型约束】"&amp;INDEX('素材需求'!$F$8:$F$119,MATCH(B134,'素材需求'!$A$8:$A$119,0))&amp;CHAR(10)&amp;"【参考对象】"&amp;F134&amp;CHAR(10)&amp;"【制作规格】"&amp;I134&amp;"；"&amp;INDEX('素材需求'!$M$8:$M$119,MATCH(B134,'素材需求'!$A$8:$A$119,0))&amp;CHAR(10)&amp;"【颜色】"&amp;'生成规范'!$B$10&amp;"；"&amp;'生成规范'!$B$11&amp;CHAR(10)&amp;"【输出规则】"&amp;'生成规范'!$B$12&amp;" 后处理对齐尺寸与轴点；交付用途："&amp;H134&amp;CHAR(10)&amp;"【禁止项】"&amp;'生成规范'!$B$9&amp;"；"&amp;INDEX('素材需求'!$N$8:$N$119,MATCH(B134,'素材需求'!$A$8:$A$119,0))</x:f>
        <x:v>【交付文件】nm_v2_abn_gugu_gaga_work_reference_settled.png
【本张任务】安抚后放松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【单张范围】只画本张：一只完整常态咕咕嘎嘎双鳍放下、眉眼放松，短圆体型和正常眼睛不变；单一交付对象/姿势，不含其他零件、对照姿势、sheet、文字、背景或地面投影。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两张提供工作回应的关键姿势，OBSERVE、INTERACT、SOOTHE可复用低频偏头/手足反馈；无需给每一工作种类各画完整动画。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【参考对象】浅蓝粉白软玩偶式企鹅、儿童拟声动画的情绪表情和轻软短围巾；保留正常眼球、短喙、短鳍，避免黑洞眼、错位长颈与阴冷幽灵形态。 参考温和的观察、回应或安抚互动；沿用NMV2_ABN_N05_01新造型，不画员工同框。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134" s="37" t="str">
        <x:v>只画本张：一只完整常态咕咕嘎嘎双鳍放下、眉眼放松，短圆体型和正常眼睛不变；单一交付对象/姿势，不含其他零件、对照姿势、sheet、文字、背景或地面投影。</x:v>
      </x:c>
      <x:c r="F134" s="37" t="str">
        <x:f>INDEX('素材需求'!$G$8:$G$119,MATCH(B134,'素材需求'!$A$8:$A$119,0))</x:f>
        <x:v>浅蓝粉白软玩偶式企鹅、儿童拟声动画的情绪表情和轻软短围巾；保留正常眼球、短喙、短鳍，避免黑洞眼、错位长颈与阴冷幽灵形态。 参考温和的观察、回应或安抚互动；沿用NMV2_ABN_N05_01新造型，不画员工同框。</x:v>
      </x:c>
      <x:c r="G134" s="37" t="str">
        <x:f>INDEX('素材需求'!$B$8:$B$119,MATCH(B134,'素材需求'!$A$8:$A$119,0))</x:f>
        <x:v>P0常态</x:v>
      </x:c>
      <x:c r="H134" s="37" t="str">
        <x:v>定稿／动作参考</x:v>
      </x:c>
      <x:c r="I13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34" s="37" t="str">
        <x:v>art_delivery/nm_v2/references/</x:v>
      </x:c>
      <x:c r="K134" s="45" t="str">
        <x:v>待生成</x:v>
      </x:c>
      <x:c r="L134" s="37" t="str">
        <x:v>settled</x:v>
      </x:c>
    </x:row>
    <x:row r="135" ht="314.25" customHeight="1">
      <x:c r="A135" s="38" t="str">
        <x:f>INDEX('素材需求'!$D$8:$D$119,MATCH(B135,'素材需求'!$A$8:$A$119,0))&amp;IF(L135="","","_"&amp;L135)&amp;".png"</x:f>
        <x:v>nm_v2_weapon_nailong_held.png</x:v>
      </x:c>
      <x:c r="B135" s="38" t="str">
        <x:v>NMV2_EQ_W01</x:v>
      </x:c>
      <x:c r="C135" s="38" t="str">
        <x:v>复读器</x:v>
      </x:c>
      <x:c r="D135" s="38" t="str">
        <x:f>"【交付文件】"&amp;A135&amp;CHAR(10)&amp;"【本张任务】"&amp;C135&amp;CHAR(10)&amp;'生成规范'!$B$8&amp;CHAR(10)&amp;"【单张范围】"&amp;E135&amp;CHAR(10)&amp;"【本组造型约束】"&amp;INDEX('素材需求'!$F$8:$F$119,MATCH(B135,'素材需求'!$A$8:$A$119,0))&amp;CHAR(10)&amp;"【参考对象】"&amp;F135&amp;CHAR(10)&amp;"【制作规格】"&amp;I135&amp;"；"&amp;INDEX('素材需求'!$M$8:$M$119,MATCH(B135,'素材需求'!$A$8:$A$119,0))&amp;CHAR(10)&amp;"【颜色】"&amp;'生成规范'!$B$10&amp;"；"&amp;'生成规范'!$B$11&amp;CHAR(10)&amp;"【输出规则】"&amp;'生成规范'!$B$12&amp;" 后处理对齐尺寸与轴点；交付用途："&amp;H135&amp;CHAR(10)&amp;"【禁止项】"&amp;'生成规范'!$B$9&amp;"；"&amp;INDEX('素材需求'!$N$8:$N$119,MATCH(B135,'素材需求'!$A$8:$A$119,0))</x:f>
        <x:v>【交付文件】nm_v2_weapon_nailong_held.png
【本张任务】复读器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暖黄/奶白的现代圆角手持复读器，短身、正向圆形扬声格栅、小型无字重复箭头标识、下方实握把；器身饱满轻巧，轮廓与吹风机/枪械明显区分，侧向朝右，单件器械完整可握持；单一独立物件，不含员工、其他零件、对照款式、sheet、文字、背景或地面投影。
【本组造型约束】现代机构专用手持器械，干净色块和少量明暗面，克制轮廓。暖黄/奶白的现代圆角手持复读器，短身、正向圆形扬声格栅、小型无字重复箭头标识、下方实握把；器身饱满轻巧，轮廓与吹风机/枪械明显区分 小尺寸先靠轮廓区分5种器械，再用对应收容物色点缀；透明镂空正常，主体不能半透明。
【参考对象】现代便携音频设备、圆角实验室手持仪器和舒适实握把；暖黄/奶白的现代圆角手持复读器，短身、正向圆形扬声格栅、小型无字重复箭头标识、下方实握把；器身饱满轻巧，轮廓与吹风机/枪械明显区分 以新版员工手掌尺寸验证握持，不借用旧锈蚀、墨线排线或生物武器造型。
【制作规格】1024×512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朝右正向发声/攻击，实际握点为唯一手部挂点；母版1024×512的握点建议(352,352)，输出附握点与正向轴。近战爪同样记录掌握中心。只画器械，无手或前臂；运行显示约23—31px既有大小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不画魔法光束、火焰、弹药、光环、状态图标或文字面板；不把手画进武器，不把武器图当技能功能说明。</x:v>
      </x:c>
      <x:c r="E135" s="38" t="str">
        <x:v>只画本张：暖黄/奶白的现代圆角手持复读器，短身、正向圆形扬声格栅、小型无字重复箭头标识、下方实握把；器身饱满轻巧，轮廓与吹风机/枪械明显区分，侧向朝右，单件器械完整可握持；单一独立物件，不含员工、其他零件、对照款式、sheet、文字、背景或地面投影。</x:v>
      </x:c>
      <x:c r="F135" s="38" t="str">
        <x:f>INDEX('素材需求'!$G$8:$G$119,MATCH(B135,'素材需求'!$A$8:$A$119,0))</x:f>
        <x:v>现代便携音频设备、圆角实验室手持仪器和舒适实握把；暖黄/奶白的现代圆角手持复读器，短身、正向圆形扬声格栅、小型无字重复箭头标识、下方实握把；器身饱满轻巧，轮廓与吹风机/枪械明显区分 以新版员工手掌尺寸验证握持，不借用旧锈蚀、墨线排线或生物武器造型。</x:v>
      </x:c>
      <x:c r="G135" s="38" t="str">
        <x:f>INDEX('素材需求'!$B$8:$B$119,MATCH(B135,'素材需求'!$A$8:$A$119,0))</x:f>
        <x:v>P0常态</x:v>
      </x:c>
      <x:c r="H135" s="38" t="str">
        <x:v>游戏拆件／贴图</x:v>
      </x:c>
      <x:c r="I135" s="38" t="str">
        <x:v>1024×512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35" s="38" t="str">
        <x:v>art_delivery/nm_v2/equipment/</x:v>
      </x:c>
      <x:c r="K135" s="45" t="str">
        <x:v>待生成</x:v>
      </x:c>
      <x:c r="L135" s="38" t="str">
        <x:v>held</x:v>
      </x:c>
    </x:row>
    <x:row r="136" ht="300" customHeight="1">
      <x:c r="A136" s="37" t="str">
        <x:f>INDEX('素材需求'!$D$8:$D$119,MATCH(B136,'素材需求'!$A$8:$A$119,0))&amp;IF(L136="","","_"&amp;L136)&amp;".png"</x:f>
        <x:v>nm_v2_armor_nailong_torso.png</x:v>
      </x:c>
      <x:c r="B136" s="37" t="str">
        <x:v>NMV2_EQ_A01</x:v>
      </x:c>
      <x:c r="C136" s="37" t="str">
        <x:v>躯干层</x:v>
      </x:c>
      <x:c r="D136" s="37" t="str">
        <x:f>"【交付文件】"&amp;A136&amp;CHAR(10)&amp;"【本张任务】"&amp;C136&amp;CHAR(10)&amp;'生成规范'!$B$8&amp;CHAR(10)&amp;"【单张范围】"&amp;E136&amp;CHAR(10)&amp;"【本组造型约束】"&amp;INDEX('素材需求'!$F$8:$F$119,MATCH(B136,'素材需求'!$A$8:$A$119,0))&amp;CHAR(10)&amp;"【参考对象】"&amp;F136&amp;CHAR(10)&amp;"【制作规格】"&amp;I136&amp;"；"&amp;INDEX('素材需求'!$M$8:$M$119,MATCH(B136,'素材需求'!$A$8:$A$119,0))&amp;CHAR(10)&amp;"【颜色】"&amp;'生成规范'!$B$10&amp;"；"&amp;'生成规范'!$B$11&amp;CHAR(10)&amp;"【输出规则】"&amp;'生成规范'!$B$12&amp;" 后处理对齐尺寸与轴点；交付用途："&amp;H136&amp;CHAR(10)&amp;"【禁止项】"&amp;'生成规范'!$B$9&amp;"；"&amp;INDEX('素材需求'!$N$8:$N$119,MATCH(B136,'素材需求'!$A$8:$A$119,0))</x:f>
        <x:v>【交付文件】nm_v2_armor_nailong_torso.png
【本张任务】躯干层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【单张范围】只画本张：蓝灰短制服躯干、奶白领边和暖黄圆角胸块；只有肩根接合余量，无袖子、头或四肢；单一独立物件，不含员工、其他零件、对照款式、sheet、文字、背景或地面投影。
【本组造型约束】现代新媒体收容机构的专业防护制服，保持共用员工2.5—3头身和轻便关节空间。蓝灰机构短制服，奶白柔软领边、暖黄圆角胸部识别块与短肩层；像舒适内容防护工作服，不是充气怪物皮 本组是3张独立部件；每张只画当前unit。防具相应躯干/肩层替代职业层，不叠两套衣服，不新增腿、发型或面部素材。
【参考对象】现代研究设施的轻便工作制服、圆角织物护肩、无字身份色块；蓝灰机构短制服，奶白柔软领边、暖黄圆角胸部识别块与短肩层；像舒适内容防护工作服，不是充气怪物皮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36" s="37" t="str">
        <x:v>只画本张：蓝灰短制服躯干、奶白领边和暖黄圆角胸块；只有肩根接合余量，无袖子、头或四肢；单一独立物件，不含员工、其他零件、对照款式、sheet、文字、背景或地面投影。</x:v>
      </x:c>
      <x:c r="F136" s="37" t="str">
        <x:f>INDEX('素材需求'!$G$8:$G$119,MATCH(B136,'素材需求'!$A$8:$A$119,0))</x:f>
        <x:v>现代研究设施的轻便工作制服、圆角织物护肩、无字身份色块；蓝灰机构短制服，奶白柔软领边、暖黄圆角胸部识别块与短肩层；像舒适内容防护工作服，不是充气怪物皮 与新版员工基型共用肩宽、领口与腰线。</x:v>
      </x:c>
      <x:c r="G136" s="37" t="str">
        <x:f>INDEX('素材需求'!$B$8:$B$119,MATCH(B136,'素材需求'!$A$8:$A$119,0))</x:f>
        <x:v>P0常态</x:v>
      </x:c>
      <x:c r="H136" s="37" t="str">
        <x:v>游戏拆件／贴图</x:v>
      </x:c>
      <x:c r="I13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36" s="37" t="str">
        <x:v>art_delivery/nm_v2/equipment/</x:v>
      </x:c>
      <x:c r="K136" s="45" t="str">
        <x:v>待生成</x:v>
      </x:c>
      <x:c r="L136" s="37" t="str">
        <x:v>torso</x:v>
      </x:c>
    </x:row>
    <x:row r="137" ht="300" customHeight="1">
      <x:c r="A137" s="38" t="str">
        <x:f>INDEX('素材需求'!$D$8:$D$119,MATCH(B137,'素材需求'!$A$8:$A$119,0))&amp;IF(L137="","","_"&amp;L137)&amp;".png"</x:f>
        <x:v>nm_v2_armor_nailong_shoulder_near.png</x:v>
      </x:c>
      <x:c r="B137" s="38" t="str">
        <x:v>NMV2_EQ_A01</x:v>
      </x:c>
      <x:c r="C137" s="38" t="str">
        <x:v>近肩层</x:v>
      </x:c>
      <x:c r="D137" s="38" t="str">
        <x:f>"【交付文件】"&amp;A137&amp;CHAR(10)&amp;"【本张任务】"&amp;C137&amp;CHAR(10)&amp;'生成规范'!$B$8&amp;CHAR(10)&amp;"【单张范围】"&amp;E137&amp;CHAR(10)&amp;"【本组造型约束】"&amp;INDEX('素材需求'!$F$8:$F$119,MATCH(B137,'素材需求'!$A$8:$A$119,0))&amp;CHAR(10)&amp;"【参考对象】"&amp;F137&amp;CHAR(10)&amp;"【制作规格】"&amp;I137&amp;"；"&amp;INDEX('素材需求'!$M$8:$M$119,MATCH(B137,'素材需求'!$A$8:$A$119,0))&amp;CHAR(10)&amp;"【颜色】"&amp;'生成规范'!$B$10&amp;"；"&amp;'生成规范'!$B$11&amp;CHAR(10)&amp;"【输出规则】"&amp;'生成规范'!$B$12&amp;" 后处理对齐尺寸与轴点；交付用途："&amp;H137&amp;CHAR(10)&amp;"【禁止项】"&amp;'生成规范'!$B$9&amp;"；"&amp;INDEX('素材需求'!$N$8:$N$119,MATCH(B137,'素材需求'!$A$8:$A$119,0))</x:f>
        <x:v>【交付文件】nm_v2_armor_nailong_shoulder_near.png
【本张任务】近肩层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【单张范围】只画本张：一块近侧暖黄/奶白柔软短肩层，克制圆角形，不含整臂；单一独立物件，不含员工、其他零件、对照款式、sheet、文字、背景或地面投影。
【本组造型约束】现代新媒体收容机构的专业防护制服，保持共用员工2.5—3头身和轻便关节空间。蓝灰机构短制服，奶白柔软领边、暖黄圆角胸部识别块与短肩层；像舒适内容防护工作服，不是充气怪物皮 本组是3张独立部件；每张只画当前unit。防具相应躯干/肩层替代职业层，不叠两套衣服，不新增腿、发型或面部素材。
【参考对象】现代研究设施的轻便工作制服、圆角织物护肩、无字身份色块；蓝灰机构短制服，奶白柔软领边、暖黄圆角胸部识别块与短肩层；像舒适内容防护工作服，不是充气怪物皮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37" s="38" t="str">
        <x:v>只画本张：一块近侧暖黄/奶白柔软短肩层，克制圆角形，不含整臂；单一独立物件，不含员工、其他零件、对照款式、sheet、文字、背景或地面投影。</x:v>
      </x:c>
      <x:c r="F137" s="38" t="str">
        <x:f>INDEX('素材需求'!$G$8:$G$119,MATCH(B137,'素材需求'!$A$8:$A$119,0))</x:f>
        <x:v>现代研究设施的轻便工作制服、圆角织物护肩、无字身份色块；蓝灰机构短制服，奶白柔软领边、暖黄圆角胸部识别块与短肩层；像舒适内容防护工作服，不是充气怪物皮 与新版员工基型共用肩宽、领口与腰线。</x:v>
      </x:c>
      <x:c r="G137" s="38" t="str">
        <x:f>INDEX('素材需求'!$B$8:$B$119,MATCH(B137,'素材需求'!$A$8:$A$119,0))</x:f>
        <x:v>P0常态</x:v>
      </x:c>
      <x:c r="H137" s="38" t="str">
        <x:v>游戏拆件／贴图</x:v>
      </x:c>
      <x:c r="I13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37" s="38" t="str">
        <x:v>art_delivery/nm_v2/equipment/</x:v>
      </x:c>
      <x:c r="K137" s="45" t="str">
        <x:v>待生成</x:v>
      </x:c>
      <x:c r="L137" s="38" t="str">
        <x:v>shoulder_near</x:v>
      </x:c>
    </x:row>
    <x:row r="138" ht="300" customHeight="1">
      <x:c r="A138" s="37" t="str">
        <x:f>INDEX('素材需求'!$D$8:$D$119,MATCH(B138,'素材需求'!$A$8:$A$119,0))&amp;IF(L138="","","_"&amp;L138)&amp;".png"</x:f>
        <x:v>nm_v2_armor_nailong_shoulder_far.png</x:v>
      </x:c>
      <x:c r="B138" s="37" t="str">
        <x:v>NMV2_EQ_A01</x:v>
      </x:c>
      <x:c r="C138" s="37" t="str">
        <x:v>远肩层</x:v>
      </x:c>
      <x:c r="D138" s="37" t="str">
        <x:f>"【交付文件】"&amp;A138&amp;CHAR(10)&amp;"【本张任务】"&amp;C138&amp;CHAR(10)&amp;'生成规范'!$B$8&amp;CHAR(10)&amp;"【单张范围】"&amp;E138&amp;CHAR(10)&amp;"【本组造型约束】"&amp;INDEX('素材需求'!$F$8:$F$119,MATCH(B138,'素材需求'!$A$8:$A$119,0))&amp;CHAR(10)&amp;"【参考对象】"&amp;F138&amp;CHAR(10)&amp;"【制作规格】"&amp;I138&amp;"；"&amp;INDEX('素材需求'!$M$8:$M$119,MATCH(B138,'素材需求'!$A$8:$A$119,0))&amp;CHAR(10)&amp;"【颜色】"&amp;'生成规范'!$B$10&amp;"；"&amp;'生成规范'!$B$11&amp;CHAR(10)&amp;"【输出规则】"&amp;'生成规范'!$B$12&amp;" 后处理对齐尺寸与轴点；交付用途："&amp;H138&amp;CHAR(10)&amp;"【禁止项】"&amp;'生成规范'!$B$9&amp;"；"&amp;INDEX('素材需求'!$N$8:$N$119,MATCH(B138,'素材需求'!$A$8:$A$119,0))</x:f>
        <x:v>【交付文件】nm_v2_armor_nailong_shoulder_far.png
【本张任务】远肩层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【单张范围】只画本张：一块远侧暖黄/奶白柔软短肩层，透视略窄，不含整臂；单一独立物件，不含员工、其他零件、对照款式、sheet、文字、背景或地面投影。
【本组造型约束】现代新媒体收容机构的专业防护制服，保持共用员工2.5—3头身和轻便关节空间。蓝灰机构短制服，奶白柔软领边、暖黄圆角胸部识别块与短肩层；像舒适内容防护工作服，不是充气怪物皮 本组是3张独立部件；每张只画当前unit。防具相应躯干/肩层替代职业层，不叠两套衣服，不新增腿、发型或面部素材。
【参考对象】现代研究设施的轻便工作制服、圆角织物护肩、无字身份色块；蓝灰机构短制服，奶白柔软领边、暖黄圆角胸部识别块与短肩层；像舒适内容防护工作服，不是充气怪物皮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38" s="37" t="str">
        <x:v>只画本张：一块远侧暖黄/奶白柔软短肩层，透视略窄，不含整臂；单一独立物件，不含员工、其他零件、对照款式、sheet、文字、背景或地面投影。</x:v>
      </x:c>
      <x:c r="F138" s="37" t="str">
        <x:f>INDEX('素材需求'!$G$8:$G$119,MATCH(B138,'素材需求'!$A$8:$A$119,0))</x:f>
        <x:v>现代研究设施的轻便工作制服、圆角织物护肩、无字身份色块；蓝灰机构短制服，奶白柔软领边、暖黄圆角胸部识别块与短肩层；像舒适内容防护工作服，不是充气怪物皮 与新版员工基型共用肩宽、领口与腰线。</x:v>
      </x:c>
      <x:c r="G138" s="37" t="str">
        <x:f>INDEX('素材需求'!$B$8:$B$119,MATCH(B138,'素材需求'!$A$8:$A$119,0))</x:f>
        <x:v>P0常态</x:v>
      </x:c>
      <x:c r="H138" s="37" t="str">
        <x:v>游戏拆件／贴图</x:v>
      </x:c>
      <x:c r="I13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38" s="37" t="str">
        <x:v>art_delivery/nm_v2/equipment/</x:v>
      </x:c>
      <x:c r="K138" s="45" t="str">
        <x:v>待生成</x:v>
      </x:c>
      <x:c r="L138" s="37" t="str">
        <x:v>shoulder_far</x:v>
      </x:c>
    </x:row>
    <x:row r="139" ht="314.25" customHeight="1">
      <x:c r="A139" s="38" t="str">
        <x:f>INDEX('素材需求'!$D$8:$D$119,MATCH(B139,'素材需求'!$A$8:$A$119,0))&amp;IF(L139="","","_"&amp;L139)&amp;".png"</x:f>
        <x:v>nm_v2_weapon_maodie_held.png</x:v>
      </x:c>
      <x:c r="B139" s="38" t="str">
        <x:v>NMV2_EQ_W02</x:v>
      </x:c>
      <x:c r="C139" s="38" t="str">
        <x:v>哈气爪</x:v>
      </x:c>
      <x:c r="D139" s="38" t="str">
        <x:f>"【交付文件】"&amp;A139&amp;CHAR(10)&amp;"【本张任务】"&amp;C139&amp;CHAR(10)&amp;'生成规范'!$B$8&amp;CHAR(10)&amp;"【单张范围】"&amp;E139&amp;CHAR(10)&amp;"【本组造型约束】"&amp;INDEX('素材需求'!$F$8:$F$119,MATCH(B139,'素材需求'!$A$8:$A$119,0))&amp;CHAR(10)&amp;"【参考对象】"&amp;F139&amp;CHAR(10)&amp;"【制作规格】"&amp;I139&amp;"；"&amp;INDEX('素材需求'!$M$8:$M$119,MATCH(B139,'素材需求'!$A$8:$A$119,0))&amp;CHAR(10)&amp;"【颜色】"&amp;'生成规范'!$B$10&amp;"；"&amp;'生成规范'!$B$11&amp;CHAR(10)&amp;"【输出规则】"&amp;'生成规范'!$B$12&amp;" 后处理对齐尺寸与轴点；交付用途："&amp;H139&amp;CHAR(10)&amp;"【禁止项】"&amp;'生成规范'!$B$9&amp;"；"&amp;INDEX('素材需求'!$N$8:$N$119,MATCH(B139,'素材需求'!$A$8:$A$119,0))</x:f>
        <x:v>【交付文件】nm_v2_weapon_maodie_held.png
【本张任务】哈气爪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暖灰机身与脏粉衬垫的现代三指爪形手持防护器，三枚短而圆钝的工具爪指向右，掌背壳与手握区域明确；是机构器械，不是生物断爪或巨大尖刀，侧向朝右，单件器械完整可握持；单一独立物件，不含员工、其他零件、对照款式、sheet、文字、背景或地面投影。
【本组造型约束】现代机构专用手持器械，干净色块和少量明暗面，克制轮廓。暖灰机身与脏粉衬垫的现代三指爪形手持防护器，三枚短而圆钝的工具爪指向右，掌背壳与手握区域明确；是机构器械，不是生物断爪或巨大尖刀 小尺寸先靠轮廓区分5种器械，再用对应收容物色点缀；透明镂空正常，主体不能半透明。
【参考对象】现代便携音频设备、圆角实验室手持仪器和舒适实握把；暖灰机身与脏粉衬垫的现代三指爪形手持防护器，三枚短而圆钝的工具爪指向右，掌背壳与手握区域明确；是机构器械，不是生物断爪或巨大尖刀 以新版员工手掌尺寸验证握持，不借用旧锈蚀、墨线排线或生物武器造型。
【制作规格】1024×512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朝右正向发声/攻击，实际握点为唯一手部挂点；母版1024×512的握点建议(352,352)，输出附握点与正向轴。近战爪同样记录掌握中心。只画器械，无手或前臂；运行显示约23—31px既有大小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不画魔法光束、火焰、弹药、光环、状态图标或文字面板；不把手画进武器，不把武器图当技能功能说明。</x:v>
      </x:c>
      <x:c r="E139" s="38" t="str">
        <x:v>只画本张：暖灰机身与脏粉衬垫的现代三指爪形手持防护器，三枚短而圆钝的工具爪指向右，掌背壳与手握区域明确；是机构器械，不是生物断爪或巨大尖刀，侧向朝右，单件器械完整可握持；单一独立物件，不含员工、其他零件、对照款式、sheet、文字、背景或地面投影。</x:v>
      </x:c>
      <x:c r="F139" s="38" t="str">
        <x:f>INDEX('素材需求'!$G$8:$G$119,MATCH(B139,'素材需求'!$A$8:$A$119,0))</x:f>
        <x:v>现代便携音频设备、圆角实验室手持仪器和舒适实握把；暖灰机身与脏粉衬垫的现代三指爪形手持防护器，三枚短而圆钝的工具爪指向右，掌背壳与手握区域明确；是机构器械，不是生物断爪或巨大尖刀 以新版员工手掌尺寸验证握持，不借用旧锈蚀、墨线排线或生物武器造型。</x:v>
      </x:c>
      <x:c r="G139" s="38" t="str">
        <x:f>INDEX('素材需求'!$B$8:$B$119,MATCH(B139,'素材需求'!$A$8:$A$119,0))</x:f>
        <x:v>P0常态</x:v>
      </x:c>
      <x:c r="H139" s="38" t="str">
        <x:v>游戏拆件／贴图</x:v>
      </x:c>
      <x:c r="I139" s="38" t="str">
        <x:v>1024×512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39" s="38" t="str">
        <x:v>art_delivery/nm_v2/equipment/</x:v>
      </x:c>
      <x:c r="K139" s="45" t="str">
        <x:v>待生成</x:v>
      </x:c>
      <x:c r="L139" s="38" t="str">
        <x:v>held</x:v>
      </x:c>
    </x:row>
    <x:row r="140" ht="300" customHeight="1">
      <x:c r="A140" s="37" t="str">
        <x:f>INDEX('素材需求'!$D$8:$D$119,MATCH(B140,'素材需求'!$A$8:$A$119,0))&amp;IF(L140="","","_"&amp;L140)&amp;".png"</x:f>
        <x:v>nm_v2_armor_maodie_torso_collar.png</x:v>
      </x:c>
      <x:c r="B140" s="37" t="str">
        <x:v>NMV2_EQ_A02</x:v>
      </x:c>
      <x:c r="C140" s="37" t="str">
        <x:v>躯干与短领</x:v>
      </x:c>
      <x:c r="D140" s="37" t="str">
        <x:f>"【交付文件】"&amp;A140&amp;CHAR(10)&amp;"【本张任务】"&amp;C140&amp;CHAR(10)&amp;'生成规范'!$B$8&amp;CHAR(10)&amp;"【单张范围】"&amp;E140&amp;CHAR(10)&amp;"【本组造型约束】"&amp;INDEX('素材需求'!$F$8:$F$119,MATCH(B140,'素材需求'!$A$8:$A$119,0))&amp;CHAR(10)&amp;"【参考对象】"&amp;F140&amp;CHAR(10)&amp;"【制作规格】"&amp;I140&amp;"；"&amp;INDEX('素材需求'!$M$8:$M$119,MATCH(B140,'素材需求'!$A$8:$A$119,0))&amp;CHAR(10)&amp;"【颜色】"&amp;'生成规范'!$B$10&amp;"；"&amp;'生成规范'!$B$11&amp;CHAR(10)&amp;"【输出规则】"&amp;'生成规范'!$B$12&amp;" 后处理对齐尺寸与轴点；交付用途："&amp;H140&amp;CHAR(10)&amp;"【禁止项】"&amp;'生成规范'!$B$9&amp;"；"&amp;INDEX('素材需求'!$N$8:$N$119,MATCH(B140,'素材需求'!$A$8:$A$119,0))</x:f>
        <x:v>【交付文件】nm_v2_armor_maodie_torso_collar.png
【本张任务】躯干与短领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【单张范围】只画本张：蓝灰短制服躯干和暖灰短立领，少量脏粉边线，肩根余量完整，无整臂、头或围领垂片；单一独立物件，不含员工、其他零件、对照款式、sheet、文字、背景或地面投影。
【本组造型约束】现代新媒体收容机构的专业防护制服，保持共用员工2.5—3头身和轻便关节空间。蓝灰短制服，暖灰短立领、脏粉小肩片和两片很短的柔软围领垂带；不遮脸、不盖手，表现情绪观测套装的辨识色而非攻击强化 本组是5张独立部件；每张只画当前unit。防具相应躯干/肩层替代职业层，不叠两套衣服，不新增腿、发型或面部素材。
【参考对象】现代研究设施的轻便工作制服、圆角织物护肩、无字身份色块；蓝灰短制服，暖灰短立领、脏粉小肩片和两片很短的柔软围领垂带；不遮脸、不盖手，表现情绪观测套装的辨识色而非攻击强化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40" s="37" t="str">
        <x:v>只画本张：蓝灰短制服躯干和暖灰短立领，少量脏粉边线，肩根余量完整，无整臂、头或围领垂片；单一独立物件，不含员工、其他零件、对照款式、sheet、文字、背景或地面投影。</x:v>
      </x:c>
      <x:c r="F140" s="37" t="str">
        <x:f>INDEX('素材需求'!$G$8:$G$119,MATCH(B140,'素材需求'!$A$8:$A$119,0))</x:f>
        <x:v>现代研究设施的轻便工作制服、圆角织物护肩、无字身份色块；蓝灰短制服，暖灰短立领、脏粉小肩片和两片很短的柔软围领垂带；不遮脸、不盖手，表现情绪观测套装的辨识色而非攻击强化 与新版员工基型共用肩宽、领口与腰线。</x:v>
      </x:c>
      <x:c r="G140" s="37" t="str">
        <x:f>INDEX('素材需求'!$B$8:$B$119,MATCH(B140,'素材需求'!$A$8:$A$119,0))</x:f>
        <x:v>P0常态</x:v>
      </x:c>
      <x:c r="H140" s="37" t="str">
        <x:v>游戏拆件／贴图</x:v>
      </x:c>
      <x:c r="I14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40" s="37" t="str">
        <x:v>art_delivery/nm_v2/equipment/</x:v>
      </x:c>
      <x:c r="K140" s="45" t="str">
        <x:v>待生成</x:v>
      </x:c>
      <x:c r="L140" s="37" t="str">
        <x:v>torso_collar</x:v>
      </x:c>
    </x:row>
    <x:row r="141" ht="300" customHeight="1">
      <x:c r="A141" s="38" t="str">
        <x:f>INDEX('素材需求'!$D$8:$D$119,MATCH(B141,'素材需求'!$A$8:$A$119,0))&amp;IF(L141="","","_"&amp;L141)&amp;".png"</x:f>
        <x:v>nm_v2_armor_maodie_shoulder_near.png</x:v>
      </x:c>
      <x:c r="B141" s="38" t="str">
        <x:v>NMV2_EQ_A02</x:v>
      </x:c>
      <x:c r="C141" s="38" t="str">
        <x:v>近肩层</x:v>
      </x:c>
      <x:c r="D141" s="38" t="str">
        <x:f>"【交付文件】"&amp;A141&amp;CHAR(10)&amp;"【本张任务】"&amp;C141&amp;CHAR(10)&amp;'生成规范'!$B$8&amp;CHAR(10)&amp;"【单张范围】"&amp;E141&amp;CHAR(10)&amp;"【本组造型约束】"&amp;INDEX('素材需求'!$F$8:$F$119,MATCH(B141,'素材需求'!$A$8:$A$119,0))&amp;CHAR(10)&amp;"【参考对象】"&amp;F141&amp;CHAR(10)&amp;"【制作规格】"&amp;I141&amp;"；"&amp;INDEX('素材需求'!$M$8:$M$119,MATCH(B141,'素材需求'!$A$8:$A$119,0))&amp;CHAR(10)&amp;"【颜色】"&amp;'生成规范'!$B$10&amp;"；"&amp;'生成规范'!$B$11&amp;CHAR(10)&amp;"【输出规则】"&amp;'生成规范'!$B$12&amp;" 后处理对齐尺寸与轴点；交付用途："&amp;H141&amp;CHAR(10)&amp;"【禁止项】"&amp;'生成规范'!$B$9&amp;"；"&amp;INDEX('素材需求'!$N$8:$N$119,MATCH(B141,'素材需求'!$A$8:$A$119,0))</x:f>
        <x:v>【交付文件】nm_v2_armor_maodie_shoulder_near.png
【本张任务】近肩层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【单张范围】只画本张：一块近侧脏粉/暖灰短肩层，简洁利落边角，无整臂；单一独立物件，不含员工、其他零件、对照款式、sheet、文字、背景或地面投影。
【本组造型约束】现代新媒体收容机构的专业防护制服，保持共用员工2.5—3头身和轻便关节空间。蓝灰短制服，暖灰短立领、脏粉小肩片和两片很短的柔软围领垂带；不遮脸、不盖手，表现情绪观测套装的辨识色而非攻击强化 本组是5张独立部件；每张只画当前unit。防具相应躯干/肩层替代职业层，不叠两套衣服，不新增腿、发型或面部素材。
【参考对象】现代研究设施的轻便工作制服、圆角织物护肩、无字身份色块；蓝灰短制服，暖灰短立领、脏粉小肩片和两片很短的柔软围领垂带；不遮脸、不盖手，表现情绪观测套装的辨识色而非攻击强化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41" s="38" t="str">
        <x:v>只画本张：一块近侧脏粉/暖灰短肩层，简洁利落边角，无整臂；单一独立物件，不含员工、其他零件、对照款式、sheet、文字、背景或地面投影。</x:v>
      </x:c>
      <x:c r="F141" s="38" t="str">
        <x:f>INDEX('素材需求'!$G$8:$G$119,MATCH(B141,'素材需求'!$A$8:$A$119,0))</x:f>
        <x:v>现代研究设施的轻便工作制服、圆角织物护肩、无字身份色块；蓝灰短制服，暖灰短立领、脏粉小肩片和两片很短的柔软围领垂带；不遮脸、不盖手，表现情绪观测套装的辨识色而非攻击强化 与新版员工基型共用肩宽、领口与腰线。</x:v>
      </x:c>
      <x:c r="G141" s="38" t="str">
        <x:f>INDEX('素材需求'!$B$8:$B$119,MATCH(B141,'素材需求'!$A$8:$A$119,0))</x:f>
        <x:v>P0常态</x:v>
      </x:c>
      <x:c r="H141" s="38" t="str">
        <x:v>游戏拆件／贴图</x:v>
      </x:c>
      <x:c r="I14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41" s="38" t="str">
        <x:v>art_delivery/nm_v2/equipment/</x:v>
      </x:c>
      <x:c r="K141" s="45" t="str">
        <x:v>待生成</x:v>
      </x:c>
      <x:c r="L141" s="38" t="str">
        <x:v>shoulder_near</x:v>
      </x:c>
    </x:row>
    <x:row r="142" ht="300" customHeight="1">
      <x:c r="A142" s="37" t="str">
        <x:f>INDEX('素材需求'!$D$8:$D$119,MATCH(B142,'素材需求'!$A$8:$A$119,0))&amp;IF(L142="","","_"&amp;L142)&amp;".png"</x:f>
        <x:v>nm_v2_armor_maodie_shoulder_far.png</x:v>
      </x:c>
      <x:c r="B142" s="37" t="str">
        <x:v>NMV2_EQ_A02</x:v>
      </x:c>
      <x:c r="C142" s="37" t="str">
        <x:v>远肩层</x:v>
      </x:c>
      <x:c r="D142" s="37" t="str">
        <x:f>"【交付文件】"&amp;A142&amp;CHAR(10)&amp;"【本张任务】"&amp;C142&amp;CHAR(10)&amp;'生成规范'!$B$8&amp;CHAR(10)&amp;"【单张范围】"&amp;E142&amp;CHAR(10)&amp;"【本组造型约束】"&amp;INDEX('素材需求'!$F$8:$F$119,MATCH(B142,'素材需求'!$A$8:$A$119,0))&amp;CHAR(10)&amp;"【参考对象】"&amp;F142&amp;CHAR(10)&amp;"【制作规格】"&amp;I142&amp;"；"&amp;INDEX('素材需求'!$M$8:$M$119,MATCH(B142,'素材需求'!$A$8:$A$119,0))&amp;CHAR(10)&amp;"【颜色】"&amp;'生成规范'!$B$10&amp;"；"&amp;'生成规范'!$B$11&amp;CHAR(10)&amp;"【输出规则】"&amp;'生成规范'!$B$12&amp;" 后处理对齐尺寸与轴点；交付用途："&amp;H142&amp;CHAR(10)&amp;"【禁止项】"&amp;'生成规范'!$B$9&amp;"；"&amp;INDEX('素材需求'!$N$8:$N$119,MATCH(B142,'素材需求'!$A$8:$A$119,0))</x:f>
        <x:v>【交付文件】nm_v2_armor_maodie_shoulder_far.png
【本张任务】远肩层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【单张范围】只画本张：一块远侧脏粉/暖灰短肩层，略窄轮廓，无整臂；单一独立物件，不含员工、其他零件、对照款式、sheet、文字、背景或地面投影。
【本组造型约束】现代新媒体收容机构的专业防护制服，保持共用员工2.5—3头身和轻便关节空间。蓝灰短制服，暖灰短立领、脏粉小肩片和两片很短的柔软围领垂带；不遮脸、不盖手，表现情绪观测套装的辨识色而非攻击强化 本组是5张独立部件；每张只画当前unit。防具相应躯干/肩层替代职业层，不叠两套衣服，不新增腿、发型或面部素材。
【参考对象】现代研究设施的轻便工作制服、圆角织物护肩、无字身份色块；蓝灰短制服，暖灰短立领、脏粉小肩片和两片很短的柔软围领垂带；不遮脸、不盖手，表现情绪观测套装的辨识色而非攻击强化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42" s="37" t="str">
        <x:v>只画本张：一块远侧脏粉/暖灰短肩层，略窄轮廓，无整臂；单一独立物件，不含员工、其他零件、对照款式、sheet、文字、背景或地面投影。</x:v>
      </x:c>
      <x:c r="F142" s="37" t="str">
        <x:f>INDEX('素材需求'!$G$8:$G$119,MATCH(B142,'素材需求'!$A$8:$A$119,0))</x:f>
        <x:v>现代研究设施的轻便工作制服、圆角织物护肩、无字身份色块；蓝灰短制服，暖灰短立领、脏粉小肩片和两片很短的柔软围领垂带；不遮脸、不盖手，表现情绪观测套装的辨识色而非攻击强化 与新版员工基型共用肩宽、领口与腰线。</x:v>
      </x:c>
      <x:c r="G142" s="37" t="str">
        <x:f>INDEX('素材需求'!$B$8:$B$119,MATCH(B142,'素材需求'!$A$8:$A$119,0))</x:f>
        <x:v>P0常态</x:v>
      </x:c>
      <x:c r="H142" s="37" t="str">
        <x:v>游戏拆件／贴图</x:v>
      </x:c>
      <x:c r="I14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42" s="37" t="str">
        <x:v>art_delivery/nm_v2/equipment/</x:v>
      </x:c>
      <x:c r="K142" s="45" t="str">
        <x:v>待生成</x:v>
      </x:c>
      <x:c r="L142" s="37" t="str">
        <x:v>shoulder_far</x:v>
      </x:c>
    </x:row>
    <x:row r="143" ht="300" customHeight="1">
      <x:c r="A143" s="38" t="str">
        <x:f>INDEX('素材需求'!$D$8:$D$119,MATCH(B143,'素材需求'!$A$8:$A$119,0))&amp;IF(L143="","","_"&amp;L143)&amp;".png"</x:f>
        <x:v>nm_v2_armor_maodie_scarf_long.png</x:v>
      </x:c>
      <x:c r="B143" s="38" t="str">
        <x:v>NMV2_EQ_A02</x:v>
      </x:c>
      <x:c r="C143" s="38" t="str">
        <x:v>围领长垂片</x:v>
      </x:c>
      <x:c r="D143" s="38" t="str">
        <x:f>"【交付文件】"&amp;A143&amp;CHAR(10)&amp;"【本张任务】"&amp;C143&amp;CHAR(10)&amp;'生成规范'!$B$8&amp;CHAR(10)&amp;"【单张范围】"&amp;E143&amp;CHAR(10)&amp;"【本组造型约束】"&amp;INDEX('素材需求'!$F$8:$F$119,MATCH(B143,'素材需求'!$A$8:$A$119,0))&amp;CHAR(10)&amp;"【参考对象】"&amp;F143&amp;CHAR(10)&amp;"【制作规格】"&amp;I143&amp;"；"&amp;INDEX('素材需求'!$M$8:$M$119,MATCH(B143,'素材需求'!$A$8:$A$119,0))&amp;CHAR(10)&amp;"【颜色】"&amp;'生成规范'!$B$10&amp;"；"&amp;'生成规范'!$B$11&amp;CHAR(10)&amp;"【输出规则】"&amp;'生成规范'!$B$12&amp;" 后处理对齐尺寸与轴点；交付用途："&amp;H143&amp;CHAR(10)&amp;"【禁止项】"&amp;'生成规范'!$B$9&amp;"；"&amp;INDEX('素材需求'!$N$8:$N$119,MATCH(B143,'素材需求'!$A$8:$A$119,0))</x:f>
        <x:v>【交付文件】nm_v2_armor_maodie_scarf_long.png
【本张任务】围领长垂片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【单张范围】只画本张：一条较长但不到腰的现代柔软围领垂片，暖灰脏粉配色、根部明确，无领圈或躯干；单一独立物件，不含员工、其他零件、对照款式、sheet、文字、背景或地面投影。
【本组造型约束】现代新媒体收容机构的专业防护制服，保持共用员工2.5—3头身和轻便关节空间。蓝灰短制服，暖灰短立领、脏粉小肩片和两片很短的柔软围领垂带；不遮脸、不盖手，表现情绪观测套装的辨识色而非攻击强化 本组是5张独立部件；每张只画当前unit。防具相应躯干/肩层替代职业层，不叠两套衣服，不新增腿、发型或面部素材。
【参考对象】现代研究设施的轻便工作制服、圆角织物护肩、无字身份色块；蓝灰短制服，暖灰短立领、脏粉小肩片和两片很短的柔软围领垂带；不遮脸、不盖手，表现情绪观测套装的辨识色而非攻击强化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43" s="38" t="str">
        <x:v>只画本张：一条较长但不到腰的现代柔软围领垂片，暖灰脏粉配色、根部明确，无领圈或躯干；单一独立物件，不含员工、其他零件、对照款式、sheet、文字、背景或地面投影。</x:v>
      </x:c>
      <x:c r="F143" s="38" t="str">
        <x:f>INDEX('素材需求'!$G$8:$G$119,MATCH(B143,'素材需求'!$A$8:$A$119,0))</x:f>
        <x:v>现代研究设施的轻便工作制服、圆角织物护肩、无字身份色块；蓝灰短制服，暖灰短立领、脏粉小肩片和两片很短的柔软围领垂带；不遮脸、不盖手，表现情绪观测套装的辨识色而非攻击强化 与新版员工基型共用肩宽、领口与腰线。</x:v>
      </x:c>
      <x:c r="G143" s="38" t="str">
        <x:f>INDEX('素材需求'!$B$8:$B$119,MATCH(B143,'素材需求'!$A$8:$A$119,0))</x:f>
        <x:v>P0常态</x:v>
      </x:c>
      <x:c r="H143" s="38" t="str">
        <x:v>游戏拆件／贴图</x:v>
      </x:c>
      <x:c r="I14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43" s="38" t="str">
        <x:v>art_delivery/nm_v2/equipment/</x:v>
      </x:c>
      <x:c r="K143" s="45" t="str">
        <x:v>待生成</x:v>
      </x:c>
      <x:c r="L143" s="38" t="str">
        <x:v>scarf_long</x:v>
      </x:c>
    </x:row>
    <x:row r="144" ht="300" customHeight="1">
      <x:c r="A144" s="37" t="str">
        <x:f>INDEX('素材需求'!$D$8:$D$119,MATCH(B144,'素材需求'!$A$8:$A$119,0))&amp;IF(L144="","","_"&amp;L144)&amp;".png"</x:f>
        <x:v>nm_v2_armor_maodie_scarf_short.png</x:v>
      </x:c>
      <x:c r="B144" s="37" t="str">
        <x:v>NMV2_EQ_A02</x:v>
      </x:c>
      <x:c r="C144" s="37" t="str">
        <x:v>围领短垂片</x:v>
      </x:c>
      <x:c r="D144" s="37" t="str">
        <x:f>"【交付文件】"&amp;A144&amp;CHAR(10)&amp;"【本张任务】"&amp;C144&amp;CHAR(10)&amp;'生成规范'!$B$8&amp;CHAR(10)&amp;"【单张范围】"&amp;E144&amp;CHAR(10)&amp;"【本组造型约束】"&amp;INDEX('素材需求'!$F$8:$F$119,MATCH(B144,'素材需求'!$A$8:$A$119,0))&amp;CHAR(10)&amp;"【参考对象】"&amp;F144&amp;CHAR(10)&amp;"【制作规格】"&amp;I144&amp;"；"&amp;INDEX('素材需求'!$M$8:$M$119,MATCH(B144,'素材需求'!$A$8:$A$119,0))&amp;CHAR(10)&amp;"【颜色】"&amp;'生成规范'!$B$10&amp;"；"&amp;'生成规范'!$B$11&amp;CHAR(10)&amp;"【输出规则】"&amp;'生成规范'!$B$12&amp;" 后处理对齐尺寸与轴点；交付用途："&amp;H144&amp;CHAR(10)&amp;"【禁止项】"&amp;'生成规范'!$B$9&amp;"；"&amp;INDEX('素材需求'!$N$8:$N$119,MATCH(B144,'素材需求'!$A$8:$A$119,0))</x:f>
        <x:v>【交付文件】nm_v2_armor_maodie_scarf_short.png
【本张任务】围领短垂片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【单张范围】只画本张：一条较短的现代柔软围领垂片，暖灰脏粉配色、根部明确，无领圈或躯干；单一独立物件，不含员工、其他零件、对照款式、sheet、文字、背景或地面投影。
【本组造型约束】现代新媒体收容机构的专业防护制服，保持共用员工2.5—3头身和轻便关节空间。蓝灰短制服，暖灰短立领、脏粉小肩片和两片很短的柔软围领垂带；不遮脸、不盖手，表现情绪观测套装的辨识色而非攻击强化 本组是5张独立部件；每张只画当前unit。防具相应躯干/肩层替代职业层，不叠两套衣服，不新增腿、发型或面部素材。
【参考对象】现代研究设施的轻便工作制服、圆角织物护肩、无字身份色块；蓝灰短制服，暖灰短立领、脏粉小肩片和两片很短的柔软围领垂带；不遮脸、不盖手，表现情绪观测套装的辨识色而非攻击强化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44" s="37" t="str">
        <x:v>只画本张：一条较短的现代柔软围领垂片，暖灰脏粉配色、根部明确，无领圈或躯干；单一独立物件，不含员工、其他零件、对照款式、sheet、文字、背景或地面投影。</x:v>
      </x:c>
      <x:c r="F144" s="37" t="str">
        <x:f>INDEX('素材需求'!$G$8:$G$119,MATCH(B144,'素材需求'!$A$8:$A$119,0))</x:f>
        <x:v>现代研究设施的轻便工作制服、圆角织物护肩、无字身份色块；蓝灰短制服，暖灰短立领、脏粉小肩片和两片很短的柔软围领垂带；不遮脸、不盖手，表现情绪观测套装的辨识色而非攻击强化 与新版员工基型共用肩宽、领口与腰线。</x:v>
      </x:c>
      <x:c r="G144" s="37" t="str">
        <x:f>INDEX('素材需求'!$B$8:$B$119,MATCH(B144,'素材需求'!$A$8:$A$119,0))</x:f>
        <x:v>P0常态</x:v>
      </x:c>
      <x:c r="H144" s="37" t="str">
        <x:v>游戏拆件／贴图</x:v>
      </x:c>
      <x:c r="I14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44" s="37" t="str">
        <x:v>art_delivery/nm_v2/equipment/</x:v>
      </x:c>
      <x:c r="K144" s="45" t="str">
        <x:v>待生成</x:v>
      </x:c>
      <x:c r="L144" s="37" t="str">
        <x:v>scarf_short</x:v>
      </x:c>
    </x:row>
    <x:row r="145" ht="314.25" customHeight="1">
      <x:c r="A145" s="38" t="str">
        <x:f>INDEX('素材需求'!$D$8:$D$119,MATCH(B145,'素材需求'!$A$8:$A$119,0))&amp;IF(L145="","","_"&amp;L145)&amp;".png"</x:f>
        <x:v>nm_v2_weapon_big_dog_held.png</x:v>
      </x:c>
      <x:c r="B145" s="38" t="str">
        <x:v>NMV2_EQ_W03</x:v>
      </x:c>
      <x:c r="C145" s="38" t="str">
        <x:v>吠声器</x:v>
      </x:c>
      <x:c r="D145" s="38" t="str">
        <x:f>"【交付文件】"&amp;A145&amp;CHAR(10)&amp;"【本张任务】"&amp;C145&amp;CHAR(10)&amp;'生成规范'!$B$8&amp;CHAR(10)&amp;"【单张范围】"&amp;E145&amp;CHAR(10)&amp;"【本组造型约束】"&amp;INDEX('素材需求'!$F$8:$F$119,MATCH(B145,'素材需求'!$A$8:$A$119,0))&amp;CHAR(10)&amp;"【参考对象】"&amp;F145&amp;CHAR(10)&amp;"【制作规格】"&amp;I145&amp;"；"&amp;INDEX('素材需求'!$M$8:$M$119,MATCH(B145,'素材需求'!$A$8:$A$119,0))&amp;CHAR(10)&amp;"【颜色】"&amp;'生成规范'!$B$10&amp;"；"&amp;'生成规范'!$B$11&amp;CHAR(10)&amp;"【输出规则】"&amp;'生成规范'!$B$12&amp;" 后处理对齐尺寸与轴点；交付用途："&amp;H145&amp;CHAR(10)&amp;"【禁止项】"&amp;'生成规范'!$B$9&amp;"；"&amp;INDEX('素材需求'!$N$8:$N$119,MATCH(B145,'素材需求'!$A$8:$A$119,0))</x:f>
        <x:v>【交付文件】nm_v2_weapon_big_dog_held.png
【本张任务】吠声器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红橙机壳与粉白扬声口的便携音频吠声器，宽圆前口、紧凑后部、下方握把；像现代直播扩音器，前端朝右，没有狗牙嘴或攻击弹药造型，侧向朝右，单件器械完整可握持；单一独立物件，不含员工、其他零件、对照款式、sheet、文字、背景或地面投影。
【本组造型约束】现代机构专用手持器械，干净色块和少量明暗面，克制轮廓。红橙机壳与粉白扬声口的便携音频吠声器，宽圆前口、紧凑后部、下方握把；像现代直播扩音器，前端朝右，没有狗牙嘴或攻击弹药造型 小尺寸先靠轮廓区分5种器械，再用对应收容物色点缀；透明镂空正常，主体不能半透明。
【参考对象】现代便携音频设备、圆角实验室手持仪器和舒适实握把；红橙机壳与粉白扬声口的便携音频吠声器，宽圆前口、紧凑后部、下方握把；像现代直播扩音器，前端朝右，没有狗牙嘴或攻击弹药造型 以新版员工手掌尺寸验证握持，不借用旧锈蚀、墨线排线或生物武器造型。
【制作规格】1024×512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朝右正向发声/攻击，实际握点为唯一手部挂点；母版1024×512的握点建议(352,352)，输出附握点与正向轴。近战爪同样记录掌握中心。只画器械，无手或前臂；运行显示约23—31px既有大小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不画魔法光束、火焰、弹药、光环、状态图标或文字面板；不把手画进武器，不把武器图当技能功能说明。</x:v>
      </x:c>
      <x:c r="E145" s="38" t="str">
        <x:v>只画本张：红橙机壳与粉白扬声口的便携音频吠声器，宽圆前口、紧凑后部、下方握把；像现代直播扩音器，前端朝右，没有狗牙嘴或攻击弹药造型，侧向朝右，单件器械完整可握持；单一独立物件，不含员工、其他零件、对照款式、sheet、文字、背景或地面投影。</x:v>
      </x:c>
      <x:c r="F145" s="38" t="str">
        <x:f>INDEX('素材需求'!$G$8:$G$119,MATCH(B145,'素材需求'!$A$8:$A$119,0))</x:f>
        <x:v>现代便携音频设备、圆角实验室手持仪器和舒适实握把；红橙机壳与粉白扬声口的便携音频吠声器，宽圆前口、紧凑后部、下方握把；像现代直播扩音器，前端朝右，没有狗牙嘴或攻击弹药造型 以新版员工手掌尺寸验证握持，不借用旧锈蚀、墨线排线或生物武器造型。</x:v>
      </x:c>
      <x:c r="G145" s="38" t="str">
        <x:f>INDEX('素材需求'!$B$8:$B$119,MATCH(B145,'素材需求'!$A$8:$A$119,0))</x:f>
        <x:v>P0常态</x:v>
      </x:c>
      <x:c r="H145" s="38" t="str">
        <x:v>游戏拆件／贴图</x:v>
      </x:c>
      <x:c r="I145" s="38" t="str">
        <x:v>1024×512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45" s="38" t="str">
        <x:v>art_delivery/nm_v2/equipment/</x:v>
      </x:c>
      <x:c r="K145" s="45" t="str">
        <x:v>待生成</x:v>
      </x:c>
      <x:c r="L145" s="38" t="str">
        <x:v>held</x:v>
      </x:c>
    </x:row>
    <x:row r="146" ht="300" customHeight="1">
      <x:c r="A146" s="37" t="str">
        <x:f>INDEX('素材需求'!$D$8:$D$119,MATCH(B146,'素材需求'!$A$8:$A$119,0))&amp;IF(L146="","","_"&amp;L146)&amp;".png"</x:f>
        <x:v>nm_v2_armor_big_dog_torso.png</x:v>
      </x:c>
      <x:c r="B146" s="37" t="str">
        <x:v>NMV2_EQ_A03</x:v>
      </x:c>
      <x:c r="C146" s="37" t="str">
        <x:v>躯干层</x:v>
      </x:c>
      <x:c r="D146" s="37" t="str">
        <x:f>"【交付文件】"&amp;A146&amp;CHAR(10)&amp;"【本张任务】"&amp;C146&amp;CHAR(10)&amp;'生成规范'!$B$8&amp;CHAR(10)&amp;"【单张范围】"&amp;E146&amp;CHAR(10)&amp;"【本组造型约束】"&amp;INDEX('素材需求'!$F$8:$F$119,MATCH(B146,'素材需求'!$A$8:$A$119,0))&amp;CHAR(10)&amp;"【参考对象】"&amp;F146&amp;CHAR(10)&amp;"【制作规格】"&amp;I146&amp;"；"&amp;INDEX('素材需求'!$M$8:$M$119,MATCH(B146,'素材需求'!$A$8:$A$119,0))&amp;CHAR(10)&amp;"【颜色】"&amp;'生成规范'!$B$10&amp;"；"&amp;'生成规范'!$B$11&amp;CHAR(10)&amp;"【输出规则】"&amp;'生成规范'!$B$12&amp;" 后处理对齐尺寸与轴点；交付用途："&amp;H146&amp;CHAR(10)&amp;"【禁止项】"&amp;'生成规范'!$B$9&amp;"；"&amp;INDEX('素材需求'!$N$8:$N$119,MATCH(B146,'素材需求'!$A$8:$A$119,0))</x:f>
        <x:v>【交付文件】nm_v2_armor_big_dog_torso.png
【本张任务】躯干层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【单张范围】只画本张：蓝灰短制服躯干与红橙边线，胸前小块粉白识别面，无领圈、整臂、头或肩片；单一独立物件，不含员工、其他零件、对照款式、sheet、文字、背景或地面投影。
【本组造型约束】现代新媒体收容机构的专业防护制服，保持共用员工2.5—3头身和轻便关节空间。蓝灰短制服、红橙边线、粉白独立短领和简洁肩层；带音频工作人员的舒适防护感，无主播文字、数值显示或重型装甲 本组是4张独立部件；每张只画当前unit。防具相应躯干/肩层替代职业层，不叠两套衣服，不新增腿、发型或面部素材。
【参考对象】现代研究设施的轻便工作制服、圆角织物护肩、无字身份色块；蓝灰短制服、红橙边线、粉白独立短领和简洁肩层；带音频工作人员的舒适防护感，无主播文字、数值显示或重型装甲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46" s="37" t="str">
        <x:v>只画本张：蓝灰短制服躯干与红橙边线，胸前小块粉白识别面，无领圈、整臂、头或肩片；单一独立物件，不含员工、其他零件、对照款式、sheet、文字、背景或地面投影。</x:v>
      </x:c>
      <x:c r="F146" s="37" t="str">
        <x:f>INDEX('素材需求'!$G$8:$G$119,MATCH(B146,'素材需求'!$A$8:$A$119,0))</x:f>
        <x:v>现代研究设施的轻便工作制服、圆角织物护肩、无字身份色块；蓝灰短制服、红橙边线、粉白独立短领和简洁肩层；带音频工作人员的舒适防护感，无主播文字、数值显示或重型装甲 与新版员工基型共用肩宽、领口与腰线。</x:v>
      </x:c>
      <x:c r="G146" s="37" t="str">
        <x:f>INDEX('素材需求'!$B$8:$B$119,MATCH(B146,'素材需求'!$A$8:$A$119,0))</x:f>
        <x:v>P0常态</x:v>
      </x:c>
      <x:c r="H146" s="37" t="str">
        <x:v>游戏拆件／贴图</x:v>
      </x:c>
      <x:c r="I14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46" s="37" t="str">
        <x:v>art_delivery/nm_v2/equipment/</x:v>
      </x:c>
      <x:c r="K146" s="45" t="str">
        <x:v>待生成</x:v>
      </x:c>
      <x:c r="L146" s="37" t="str">
        <x:v>torso</x:v>
      </x:c>
    </x:row>
    <x:row r="147" ht="300" customHeight="1">
      <x:c r="A147" s="38" t="str">
        <x:f>INDEX('素材需求'!$D$8:$D$119,MATCH(B147,'素材需求'!$A$8:$A$119,0))&amp;IF(L147="","","_"&amp;L147)&amp;".png"</x:f>
        <x:v>nm_v2_armor_big_dog_collar.png</x:v>
      </x:c>
      <x:c r="B147" s="38" t="str">
        <x:v>NMV2_EQ_A03</x:v>
      </x:c>
      <x:c r="C147" s="38" t="str">
        <x:v>独立短领</x:v>
      </x:c>
      <x:c r="D147" s="38" t="str">
        <x:f>"【交付文件】"&amp;A147&amp;CHAR(10)&amp;"【本张任务】"&amp;C147&amp;CHAR(10)&amp;'生成规范'!$B$8&amp;CHAR(10)&amp;"【单张范围】"&amp;E147&amp;CHAR(10)&amp;"【本组造型约束】"&amp;INDEX('素材需求'!$F$8:$F$119,MATCH(B147,'素材需求'!$A$8:$A$119,0))&amp;CHAR(10)&amp;"【参考对象】"&amp;F147&amp;CHAR(10)&amp;"【制作规格】"&amp;I147&amp;"；"&amp;INDEX('素材需求'!$M$8:$M$119,MATCH(B147,'素材需求'!$A$8:$A$119,0))&amp;CHAR(10)&amp;"【颜色】"&amp;'生成规范'!$B$10&amp;"；"&amp;'生成规范'!$B$11&amp;CHAR(10)&amp;"【输出规则】"&amp;'生成规范'!$B$12&amp;" 后处理对齐尺寸与轴点；交付用途："&amp;H147&amp;CHAR(10)&amp;"【禁止项】"&amp;'生成规范'!$B$9&amp;"；"&amp;INDEX('素材需求'!$N$8:$N$119,MATCH(B147,'素材需求'!$A$8:$A$119,0))</x:f>
        <x:v>【交付文件】nm_v2_armor_big_dog_collar.png
【本张任务】独立短领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【单张范围】只画本张：一个粉白现代短领环，圆角舒适、前后遮挡边界清楚，无躯干或头；单一独立物件，不含员工、其他零件、对照款式、sheet、文字、背景或地面投影。
【本组造型约束】现代新媒体收容机构的专业防护制服，保持共用员工2.5—3头身和轻便关节空间。蓝灰短制服、红橙边线、粉白独立短领和简洁肩层；带音频工作人员的舒适防护感，无主播文字、数值显示或重型装甲 本组是4张独立部件；每张只画当前unit。防具相应躯干/肩层替代职业层，不叠两套衣服，不新增腿、发型或面部素材。
【参考对象】现代研究设施的轻便工作制服、圆角织物护肩、无字身份色块；蓝灰短制服、红橙边线、粉白独立短领和简洁肩层；带音频工作人员的舒适防护感，无主播文字、数值显示或重型装甲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47" s="38" t="str">
        <x:v>只画本张：一个粉白现代短领环，圆角舒适、前后遮挡边界清楚，无躯干或头；单一独立物件，不含员工、其他零件、对照款式、sheet、文字、背景或地面投影。</x:v>
      </x:c>
      <x:c r="F147" s="38" t="str">
        <x:f>INDEX('素材需求'!$G$8:$G$119,MATCH(B147,'素材需求'!$A$8:$A$119,0))</x:f>
        <x:v>现代研究设施的轻便工作制服、圆角织物护肩、无字身份色块；蓝灰短制服、红橙边线、粉白独立短领和简洁肩层；带音频工作人员的舒适防护感，无主播文字、数值显示或重型装甲 与新版员工基型共用肩宽、领口与腰线。</x:v>
      </x:c>
      <x:c r="G147" s="38" t="str">
        <x:f>INDEX('素材需求'!$B$8:$B$119,MATCH(B147,'素材需求'!$A$8:$A$119,0))</x:f>
        <x:v>P0常态</x:v>
      </x:c>
      <x:c r="H147" s="38" t="str">
        <x:v>游戏拆件／贴图</x:v>
      </x:c>
      <x:c r="I14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47" s="38" t="str">
        <x:v>art_delivery/nm_v2/equipment/</x:v>
      </x:c>
      <x:c r="K147" s="45" t="str">
        <x:v>待生成</x:v>
      </x:c>
      <x:c r="L147" s="38" t="str">
        <x:v>collar</x:v>
      </x:c>
    </x:row>
    <x:row r="148" ht="300" customHeight="1">
      <x:c r="A148" s="37" t="str">
        <x:f>INDEX('素材需求'!$D$8:$D$119,MATCH(B148,'素材需求'!$A$8:$A$119,0))&amp;IF(L148="","","_"&amp;L148)&amp;".png"</x:f>
        <x:v>nm_v2_armor_big_dog_shoulder_near.png</x:v>
      </x:c>
      <x:c r="B148" s="37" t="str">
        <x:v>NMV2_EQ_A03</x:v>
      </x:c>
      <x:c r="C148" s="37" t="str">
        <x:v>近肩层</x:v>
      </x:c>
      <x:c r="D148" s="37" t="str">
        <x:f>"【交付文件】"&amp;A148&amp;CHAR(10)&amp;"【本张任务】"&amp;C148&amp;CHAR(10)&amp;'生成规范'!$B$8&amp;CHAR(10)&amp;"【单张范围】"&amp;E148&amp;CHAR(10)&amp;"【本组造型约束】"&amp;INDEX('素材需求'!$F$8:$F$119,MATCH(B148,'素材需求'!$A$8:$A$119,0))&amp;CHAR(10)&amp;"【参考对象】"&amp;F148&amp;CHAR(10)&amp;"【制作规格】"&amp;I148&amp;"；"&amp;INDEX('素材需求'!$M$8:$M$119,MATCH(B148,'素材需求'!$A$8:$A$119,0))&amp;CHAR(10)&amp;"【颜色】"&amp;'生成规范'!$B$10&amp;"；"&amp;'生成规范'!$B$11&amp;CHAR(10)&amp;"【输出规则】"&amp;'生成规范'!$B$12&amp;" 后处理对齐尺寸与轴点；交付用途："&amp;H148&amp;CHAR(10)&amp;"【禁止项】"&amp;'生成规范'!$B$9&amp;"；"&amp;INDEX('素材需求'!$N$8:$N$119,MATCH(B148,'素材需求'!$A$8:$A$119,0))</x:f>
        <x:v>【交付文件】nm_v2_armor_big_dog_shoulder_near.png
【本张任务】近肩层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【单张范围】只画本张：一块近侧红橙/粉白短肩层，结构轻便，无整臂；单一独立物件，不含员工、其他零件、对照款式、sheet、文字、背景或地面投影。
【本组造型约束】现代新媒体收容机构的专业防护制服，保持共用员工2.5—3头身和轻便关节空间。蓝灰短制服、红橙边线、粉白独立短领和简洁肩层；带音频工作人员的舒适防护感，无主播文字、数值显示或重型装甲 本组是4张独立部件；每张只画当前unit。防具相应躯干/肩层替代职业层，不叠两套衣服，不新增腿、发型或面部素材。
【参考对象】现代研究设施的轻便工作制服、圆角织物护肩、无字身份色块；蓝灰短制服、红橙边线、粉白独立短领和简洁肩层；带音频工作人员的舒适防护感，无主播文字、数值显示或重型装甲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48" s="37" t="str">
        <x:v>只画本张：一块近侧红橙/粉白短肩层，结构轻便，无整臂；单一独立物件，不含员工、其他零件、对照款式、sheet、文字、背景或地面投影。</x:v>
      </x:c>
      <x:c r="F148" s="37" t="str">
        <x:f>INDEX('素材需求'!$G$8:$G$119,MATCH(B148,'素材需求'!$A$8:$A$119,0))</x:f>
        <x:v>现代研究设施的轻便工作制服、圆角织物护肩、无字身份色块；蓝灰短制服、红橙边线、粉白独立短领和简洁肩层；带音频工作人员的舒适防护感，无主播文字、数值显示或重型装甲 与新版员工基型共用肩宽、领口与腰线。</x:v>
      </x:c>
      <x:c r="G148" s="37" t="str">
        <x:f>INDEX('素材需求'!$B$8:$B$119,MATCH(B148,'素材需求'!$A$8:$A$119,0))</x:f>
        <x:v>P0常态</x:v>
      </x:c>
      <x:c r="H148" s="37" t="str">
        <x:v>游戏拆件／贴图</x:v>
      </x:c>
      <x:c r="I14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48" s="37" t="str">
        <x:v>art_delivery/nm_v2/equipment/</x:v>
      </x:c>
      <x:c r="K148" s="45" t="str">
        <x:v>待生成</x:v>
      </x:c>
      <x:c r="L148" s="37" t="str">
        <x:v>shoulder_near</x:v>
      </x:c>
    </x:row>
    <x:row r="149" ht="300" customHeight="1">
      <x:c r="A149" s="38" t="str">
        <x:f>INDEX('素材需求'!$D$8:$D$119,MATCH(B149,'素材需求'!$A$8:$A$119,0))&amp;IF(L149="","","_"&amp;L149)&amp;".png"</x:f>
        <x:v>nm_v2_armor_big_dog_shoulder_far.png</x:v>
      </x:c>
      <x:c r="B149" s="38" t="str">
        <x:v>NMV2_EQ_A03</x:v>
      </x:c>
      <x:c r="C149" s="38" t="str">
        <x:v>远肩层</x:v>
      </x:c>
      <x:c r="D149" s="38" t="str">
        <x:f>"【交付文件】"&amp;A149&amp;CHAR(10)&amp;"【本张任务】"&amp;C149&amp;CHAR(10)&amp;'生成规范'!$B$8&amp;CHAR(10)&amp;"【单张范围】"&amp;E149&amp;CHAR(10)&amp;"【本组造型约束】"&amp;INDEX('素材需求'!$F$8:$F$119,MATCH(B149,'素材需求'!$A$8:$A$119,0))&amp;CHAR(10)&amp;"【参考对象】"&amp;F149&amp;CHAR(10)&amp;"【制作规格】"&amp;I149&amp;"；"&amp;INDEX('素材需求'!$M$8:$M$119,MATCH(B149,'素材需求'!$A$8:$A$119,0))&amp;CHAR(10)&amp;"【颜色】"&amp;'生成规范'!$B$10&amp;"；"&amp;'生成规范'!$B$11&amp;CHAR(10)&amp;"【输出规则】"&amp;'生成规范'!$B$12&amp;" 后处理对齐尺寸与轴点；交付用途："&amp;H149&amp;CHAR(10)&amp;"【禁止项】"&amp;'生成规范'!$B$9&amp;"；"&amp;INDEX('素材需求'!$N$8:$N$119,MATCH(B149,'素材需求'!$A$8:$A$119,0))</x:f>
        <x:v>【交付文件】nm_v2_armor_big_dog_shoulder_far.png
【本张任务】远肩层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【单张范围】只画本张：一块远侧红橙/粉白短肩层，轮廓稍窄，无整臂；单一独立物件，不含员工、其他零件、对照款式、sheet、文字、背景或地面投影。
【本组造型约束】现代新媒体收容机构的专业防护制服，保持共用员工2.5—3头身和轻便关节空间。蓝灰短制服、红橙边线、粉白独立短领和简洁肩层；带音频工作人员的舒适防护感，无主播文字、数值显示或重型装甲 本组是4张独立部件；每张只画当前unit。防具相应躯干/肩层替代职业层，不叠两套衣服，不新增腿、发型或面部素材。
【参考对象】现代研究设施的轻便工作制服、圆角织物护肩、无字身份色块；蓝灰短制服、红橙边线、粉白独立短领和简洁肩层；带音频工作人员的舒适防护感，无主播文字、数值显示或重型装甲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49" s="38" t="str">
        <x:v>只画本张：一块远侧红橙/粉白短肩层，轮廓稍窄，无整臂；单一独立物件，不含员工、其他零件、对照款式、sheet、文字、背景或地面投影。</x:v>
      </x:c>
      <x:c r="F149" s="38" t="str">
        <x:f>INDEX('素材需求'!$G$8:$G$119,MATCH(B149,'素材需求'!$A$8:$A$119,0))</x:f>
        <x:v>现代研究设施的轻便工作制服、圆角织物护肩、无字身份色块；蓝灰短制服、红橙边线、粉白独立短领和简洁肩层；带音频工作人员的舒适防护感，无主播文字、数值显示或重型装甲 与新版员工基型共用肩宽、领口与腰线。</x:v>
      </x:c>
      <x:c r="G149" s="38" t="str">
        <x:f>INDEX('素材需求'!$B$8:$B$119,MATCH(B149,'素材需求'!$A$8:$A$119,0))</x:f>
        <x:v>P0常态</x:v>
      </x:c>
      <x:c r="H149" s="38" t="str">
        <x:v>游戏拆件／贴图</x:v>
      </x:c>
      <x:c r="I14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49" s="38" t="str">
        <x:v>art_delivery/nm_v2/equipment/</x:v>
      </x:c>
      <x:c r="K149" s="45" t="str">
        <x:v>待生成</x:v>
      </x:c>
      <x:c r="L149" s="38" t="str">
        <x:v>shoulder_far</x:v>
      </x:c>
    </x:row>
    <x:row r="150" ht="314.25" customHeight="1">
      <x:c r="A150" s="37" t="str">
        <x:f>INDEX('素材需求'!$D$8:$D$119,MATCH(B150,'素材需求'!$A$8:$A$119,0))&amp;IF(L150="","","_"&amp;L150)&amp;".png"</x:f>
        <x:v>nm_v2_weapon_dingdong_held.png</x:v>
      </x:c>
      <x:c r="B150" s="37" t="str">
        <x:v>NMV2_EQ_W04</x:v>
      </x:c>
      <x:c r="C150" s="37" t="str">
        <x:v>通知喇叭</x:v>
      </x:c>
      <x:c r="D150" s="37" t="str">
        <x:f>"【交付文件】"&amp;A150&amp;CHAR(10)&amp;"【本张任务】"&amp;C150&amp;CHAR(10)&amp;'生成规范'!$B$8&amp;CHAR(10)&amp;"【单张范围】"&amp;E150&amp;CHAR(10)&amp;"【本组造型约束】"&amp;INDEX('素材需求'!$F$8:$F$119,MATCH(B150,'素材需求'!$A$8:$A$119,0))&amp;CHAR(10)&amp;"【参考对象】"&amp;F150&amp;CHAR(10)&amp;"【制作规格】"&amp;I150&amp;"；"&amp;INDEX('素材需求'!$M$8:$M$119,MATCH(B150,'素材需求'!$A$8:$A$119,0))&amp;CHAR(10)&amp;"【颜色】"&amp;'生成规范'!$B$10&amp;"；"&amp;'生成规范'!$B$11&amp;CHAR(10)&amp;"【输出规则】"&amp;'生成规范'!$B$12&amp;" 后处理对齐尺寸与轴点；交付用途："&amp;H150&amp;CHAR(10)&amp;"【禁止项】"&amp;'生成规范'!$B$9&amp;"；"&amp;INDEX('素材需求'!$N$8:$N$119,MATCH(B150,'素材需求'!$A$8:$A$119,0))</x:f>
        <x:v>【交付文件】nm_v2_weapon_dingdong_held.png
【本张任务】通知喇叭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明黄/橙黄机壳的现代通知喇叭，短喇叭口朝右，小块提示红按钮和清楚握把，轮廓比吠声器更窄且有一块小型圆角通知面；无铜管乐器纹饰或机械钟，侧向朝右，单件器械完整可握持；单一独立物件，不含员工、其他零件、对照款式、sheet、文字、背景或地面投影。
【本组造型约束】现代机构专用手持器械，干净色块和少量明暗面，克制轮廓。明黄/橙黄机壳的现代通知喇叭，短喇叭口朝右，小块提示红按钮和清楚握把，轮廓比吠声器更窄且有一块小型圆角通知面；无铜管乐器纹饰或机械钟 小尺寸先靠轮廓区分5种器械，再用对应收容物色点缀；透明镂空正常，主体不能半透明。
【参考对象】现代便携音频设备、圆角实验室手持仪器和舒适实握把；明黄/橙黄机壳的现代通知喇叭，短喇叭口朝右，小块提示红按钮和清楚握把，轮廓比吠声器更窄且有一块小型圆角通知面；无铜管乐器纹饰或机械钟 以新版员工手掌尺寸验证握持，不借用旧锈蚀、墨线排线或生物武器造型。
【制作规格】1024×512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朝右正向发声/攻击，实际握点为唯一手部挂点；母版1024×512的握点建议(352,352)，输出附握点与正向轴。近战爪同样记录掌握中心。只画器械，无手或前臂；运行显示约23—31px既有大小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不画魔法光束、火焰、弹药、光环、状态图标或文字面板；不把手画进武器，不把武器图当技能功能说明。</x:v>
      </x:c>
      <x:c r="E150" s="37" t="str">
        <x:v>只画本张：明黄/橙黄机壳的现代通知喇叭，短喇叭口朝右，小块提示红按钮和清楚握把，轮廓比吠声器更窄且有一块小型圆角通知面；无铜管乐器纹饰或机械钟，侧向朝右，单件器械完整可握持；单一独立物件，不含员工、其他零件、对照款式、sheet、文字、背景或地面投影。</x:v>
      </x:c>
      <x:c r="F150" s="37" t="str">
        <x:f>INDEX('素材需求'!$G$8:$G$119,MATCH(B150,'素材需求'!$A$8:$A$119,0))</x:f>
        <x:v>现代便携音频设备、圆角实验室手持仪器和舒适实握把；明黄/橙黄机壳的现代通知喇叭，短喇叭口朝右，小块提示红按钮和清楚握把，轮廓比吠声器更窄且有一块小型圆角通知面；无铜管乐器纹饰或机械钟 以新版员工手掌尺寸验证握持，不借用旧锈蚀、墨线排线或生物武器造型。</x:v>
      </x:c>
      <x:c r="G150" s="37" t="str">
        <x:f>INDEX('素材需求'!$B$8:$B$119,MATCH(B150,'素材需求'!$A$8:$A$119,0))</x:f>
        <x:v>P0常态</x:v>
      </x:c>
      <x:c r="H150" s="37" t="str">
        <x:v>游戏拆件／贴图</x:v>
      </x:c>
      <x:c r="I150" s="37" t="str">
        <x:v>1024×512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50" s="37" t="str">
        <x:v>art_delivery/nm_v2/equipment/</x:v>
      </x:c>
      <x:c r="K150" s="45" t="str">
        <x:v>待生成</x:v>
      </x:c>
      <x:c r="L150" s="37" t="str">
        <x:v>held</x:v>
      </x:c>
    </x:row>
    <x:row r="151" ht="300" customHeight="1">
      <x:c r="A151" s="38" t="str">
        <x:f>INDEX('素材需求'!$D$8:$D$119,MATCH(B151,'素材需求'!$A$8:$A$119,0))&amp;IF(L151="","","_"&amp;L151)&amp;".png"</x:f>
        <x:v>nm_v2_armor_dingdong_torso.png</x:v>
      </x:c>
      <x:c r="B151" s="38" t="str">
        <x:v>NMV2_EQ_A04</x:v>
      </x:c>
      <x:c r="C151" s="38" t="str">
        <x:v>躯干层</x:v>
      </x:c>
      <x:c r="D151" s="38" t="str">
        <x:f>"【交付文件】"&amp;A151&amp;CHAR(10)&amp;"【本张任务】"&amp;C151&amp;CHAR(10)&amp;'生成规范'!$B$8&amp;CHAR(10)&amp;"【单张范围】"&amp;E151&amp;CHAR(10)&amp;"【本组造型约束】"&amp;INDEX('素材需求'!$F$8:$F$119,MATCH(B151,'素材需求'!$A$8:$A$119,0))&amp;CHAR(10)&amp;"【参考对象】"&amp;F151&amp;CHAR(10)&amp;"【制作规格】"&amp;I151&amp;"；"&amp;INDEX('素材需求'!$M$8:$M$119,MATCH(B151,'素材需求'!$A$8:$A$119,0))&amp;CHAR(10)&amp;"【颜色】"&amp;'生成规范'!$B$10&amp;"；"&amp;'生成规范'!$B$11&amp;CHAR(10)&amp;"【输出规则】"&amp;'生成规范'!$B$12&amp;" 后处理对齐尺寸与轴点；交付用途："&amp;H151&amp;CHAR(10)&amp;"【禁止项】"&amp;'生成规范'!$B$9&amp;"；"&amp;INDEX('素材需求'!$N$8:$N$119,MATCH(B151,'素材需求'!$A$8:$A$119,0))</x:f>
        <x:v>【交付文件】nm_v2_armor_dingdong_torso.png
【本张任务】躯干层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【单张范围】只画本张：蓝灰短制服躯干，明黄窄识别带和小型无字提示红胸标，肩根短余量，无完整袖子或头；单一独立物件，不含员工、其他零件、对照款式、sheet、文字、背景或地面投影。
【本组造型约束】现代新媒体收容机构的专业防护制服，保持共用员工2.5—3头身和轻便关节空间。蓝灰短制服、明黄/橙黄窄识别带、少量提示红圆角胸标与两块短肩层；类似现代播报系统值班服，不做黄铜警报装甲 本组是3张独立部件；每张只画当前unit。防具相应躯干/肩层替代职业层，不叠两套衣服，不新增腿、发型或面部素材。
【参考对象】现代研究设施的轻便工作制服、圆角织物护肩、无字身份色块；蓝灰短制服、明黄/橙黄窄识别带、少量提示红圆角胸标与两块短肩层；类似现代播报系统值班服，不做黄铜警报装甲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51" s="38" t="str">
        <x:v>只画本张：蓝灰短制服躯干，明黄窄识别带和小型无字提示红胸标，肩根短余量，无完整袖子或头；单一独立物件，不含员工、其他零件、对照款式、sheet、文字、背景或地面投影。</x:v>
      </x:c>
      <x:c r="F151" s="38" t="str">
        <x:f>INDEX('素材需求'!$G$8:$G$119,MATCH(B151,'素材需求'!$A$8:$A$119,0))</x:f>
        <x:v>现代研究设施的轻便工作制服、圆角织物护肩、无字身份色块；蓝灰短制服、明黄/橙黄窄识别带、少量提示红圆角胸标与两块短肩层；类似现代播报系统值班服，不做黄铜警报装甲 与新版员工基型共用肩宽、领口与腰线。</x:v>
      </x:c>
      <x:c r="G151" s="38" t="str">
        <x:f>INDEX('素材需求'!$B$8:$B$119,MATCH(B151,'素材需求'!$A$8:$A$119,0))</x:f>
        <x:v>P0常态</x:v>
      </x:c>
      <x:c r="H151" s="38" t="str">
        <x:v>游戏拆件／贴图</x:v>
      </x:c>
      <x:c r="I15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51" s="38" t="str">
        <x:v>art_delivery/nm_v2/equipment/</x:v>
      </x:c>
      <x:c r="K151" s="45" t="str">
        <x:v>待生成</x:v>
      </x:c>
      <x:c r="L151" s="38" t="str">
        <x:v>torso</x:v>
      </x:c>
    </x:row>
    <x:row r="152" ht="300" customHeight="1">
      <x:c r="A152" s="37" t="str">
        <x:f>INDEX('素材需求'!$D$8:$D$119,MATCH(B152,'素材需求'!$A$8:$A$119,0))&amp;IF(L152="","","_"&amp;L152)&amp;".png"</x:f>
        <x:v>nm_v2_armor_dingdong_shoulder_near.png</x:v>
      </x:c>
      <x:c r="B152" s="37" t="str">
        <x:v>NMV2_EQ_A04</x:v>
      </x:c>
      <x:c r="C152" s="37" t="str">
        <x:v>近肩层</x:v>
      </x:c>
      <x:c r="D152" s="37" t="str">
        <x:f>"【交付文件】"&amp;A152&amp;CHAR(10)&amp;"【本张任务】"&amp;C152&amp;CHAR(10)&amp;'生成规范'!$B$8&amp;CHAR(10)&amp;"【单张范围】"&amp;E152&amp;CHAR(10)&amp;"【本组造型约束】"&amp;INDEX('素材需求'!$F$8:$F$119,MATCH(B152,'素材需求'!$A$8:$A$119,0))&amp;CHAR(10)&amp;"【参考对象】"&amp;F152&amp;CHAR(10)&amp;"【制作规格】"&amp;I152&amp;"；"&amp;INDEX('素材需求'!$M$8:$M$119,MATCH(B152,'素材需求'!$A$8:$A$119,0))&amp;CHAR(10)&amp;"【颜色】"&amp;'生成规范'!$B$10&amp;"；"&amp;'生成规范'!$B$11&amp;CHAR(10)&amp;"【输出规则】"&amp;'生成规范'!$B$12&amp;" 后处理对齐尺寸与轴点；交付用途："&amp;H152&amp;CHAR(10)&amp;"【禁止项】"&amp;'生成规范'!$B$9&amp;"；"&amp;INDEX('素材需求'!$N$8:$N$119,MATCH(B152,'素材需求'!$A$8:$A$119,0))</x:f>
        <x:v>【交付文件】nm_v2_armor_dingdong_shoulder_near.png
【本张任务】近肩层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【单张范围】只画本张：一块近侧明黄/橙黄短肩层，清爽直线配圆角，无整臂；单一独立物件，不含员工、其他零件、对照款式、sheet、文字、背景或地面投影。
【本组造型约束】现代新媒体收容机构的专业防护制服，保持共用员工2.5—3头身和轻便关节空间。蓝灰短制服、明黄/橙黄窄识别带、少量提示红圆角胸标与两块短肩层；类似现代播报系统值班服，不做黄铜警报装甲 本组是3张独立部件；每张只画当前unit。防具相应躯干/肩层替代职业层，不叠两套衣服，不新增腿、发型或面部素材。
【参考对象】现代研究设施的轻便工作制服、圆角织物护肩、无字身份色块；蓝灰短制服、明黄/橙黄窄识别带、少量提示红圆角胸标与两块短肩层；类似现代播报系统值班服，不做黄铜警报装甲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52" s="37" t="str">
        <x:v>只画本张：一块近侧明黄/橙黄短肩层，清爽直线配圆角，无整臂；单一独立物件，不含员工、其他零件、对照款式、sheet、文字、背景或地面投影。</x:v>
      </x:c>
      <x:c r="F152" s="37" t="str">
        <x:f>INDEX('素材需求'!$G$8:$G$119,MATCH(B152,'素材需求'!$A$8:$A$119,0))</x:f>
        <x:v>现代研究设施的轻便工作制服、圆角织物护肩、无字身份色块；蓝灰短制服、明黄/橙黄窄识别带、少量提示红圆角胸标与两块短肩层；类似现代播报系统值班服，不做黄铜警报装甲 与新版员工基型共用肩宽、领口与腰线。</x:v>
      </x:c>
      <x:c r="G152" s="37" t="str">
        <x:f>INDEX('素材需求'!$B$8:$B$119,MATCH(B152,'素材需求'!$A$8:$A$119,0))</x:f>
        <x:v>P0常态</x:v>
      </x:c>
      <x:c r="H152" s="37" t="str">
        <x:v>游戏拆件／贴图</x:v>
      </x:c>
      <x:c r="I15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52" s="37" t="str">
        <x:v>art_delivery/nm_v2/equipment/</x:v>
      </x:c>
      <x:c r="K152" s="45" t="str">
        <x:v>待生成</x:v>
      </x:c>
      <x:c r="L152" s="37" t="str">
        <x:v>shoulder_near</x:v>
      </x:c>
    </x:row>
    <x:row r="153" ht="300" customHeight="1">
      <x:c r="A153" s="38" t="str">
        <x:f>INDEX('素材需求'!$D$8:$D$119,MATCH(B153,'素材需求'!$A$8:$A$119,0))&amp;IF(L153="","","_"&amp;L153)&amp;".png"</x:f>
        <x:v>nm_v2_armor_dingdong_shoulder_far.png</x:v>
      </x:c>
      <x:c r="B153" s="38" t="str">
        <x:v>NMV2_EQ_A04</x:v>
      </x:c>
      <x:c r="C153" s="38" t="str">
        <x:v>远肩层</x:v>
      </x:c>
      <x:c r="D153" s="38" t="str">
        <x:f>"【交付文件】"&amp;A153&amp;CHAR(10)&amp;"【本张任务】"&amp;C153&amp;CHAR(10)&amp;'生成规范'!$B$8&amp;CHAR(10)&amp;"【单张范围】"&amp;E153&amp;CHAR(10)&amp;"【本组造型约束】"&amp;INDEX('素材需求'!$F$8:$F$119,MATCH(B153,'素材需求'!$A$8:$A$119,0))&amp;CHAR(10)&amp;"【参考对象】"&amp;F153&amp;CHAR(10)&amp;"【制作规格】"&amp;I153&amp;"；"&amp;INDEX('素材需求'!$M$8:$M$119,MATCH(B153,'素材需求'!$A$8:$A$119,0))&amp;CHAR(10)&amp;"【颜色】"&amp;'生成规范'!$B$10&amp;"；"&amp;'生成规范'!$B$11&amp;CHAR(10)&amp;"【输出规则】"&amp;'生成规范'!$B$12&amp;" 后处理对齐尺寸与轴点；交付用途："&amp;H153&amp;CHAR(10)&amp;"【禁止项】"&amp;'生成规范'!$B$9&amp;"；"&amp;INDEX('素材需求'!$N$8:$N$119,MATCH(B153,'素材需求'!$A$8:$A$119,0))</x:f>
        <x:v>【交付文件】nm_v2_armor_dingdong_shoulder_far.png
【本张任务】远肩层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【单张范围】只画本张：一块远侧明黄/橙黄短肩层，轮廓稍窄，无整臂；单一独立物件，不含员工、其他零件、对照款式、sheet、文字、背景或地面投影。
【本组造型约束】现代新媒体收容机构的专业防护制服，保持共用员工2.5—3头身和轻便关节空间。蓝灰短制服、明黄/橙黄窄识别带、少量提示红圆角胸标与两块短肩层；类似现代播报系统值班服，不做黄铜警报装甲 本组是3张独立部件；每张只画当前unit。防具相应躯干/肩层替代职业层，不叠两套衣服，不新增腿、发型或面部素材。
【参考对象】现代研究设施的轻便工作制服、圆角织物护肩、无字身份色块；蓝灰短制服、明黄/橙黄窄识别带、少量提示红圆角胸标与两块短肩层；类似现代播报系统值班服，不做黄铜警报装甲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53" s="38" t="str">
        <x:v>只画本张：一块远侧明黄/橙黄短肩层，轮廓稍窄，无整臂；单一独立物件，不含员工、其他零件、对照款式、sheet、文字、背景或地面投影。</x:v>
      </x:c>
      <x:c r="F153" s="38" t="str">
        <x:f>INDEX('素材需求'!$G$8:$G$119,MATCH(B153,'素材需求'!$A$8:$A$119,0))</x:f>
        <x:v>现代研究设施的轻便工作制服、圆角织物护肩、无字身份色块；蓝灰短制服、明黄/橙黄窄识别带、少量提示红圆角胸标与两块短肩层；类似现代播报系统值班服，不做黄铜警报装甲 与新版员工基型共用肩宽、领口与腰线。</x:v>
      </x:c>
      <x:c r="G153" s="38" t="str">
        <x:f>INDEX('素材需求'!$B$8:$B$119,MATCH(B153,'素材需求'!$A$8:$A$119,0))</x:f>
        <x:v>P0常态</x:v>
      </x:c>
      <x:c r="H153" s="38" t="str">
        <x:v>游戏拆件／贴图</x:v>
      </x:c>
      <x:c r="I15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53" s="38" t="str">
        <x:v>art_delivery/nm_v2/equipment/</x:v>
      </x:c>
      <x:c r="K153" s="45" t="str">
        <x:v>待生成</x:v>
      </x:c>
      <x:c r="L153" s="38" t="str">
        <x:v>shoulder_far</x:v>
      </x:c>
    </x:row>
    <x:row r="154" ht="314.25" customHeight="1">
      <x:c r="A154" s="37" t="str">
        <x:f>INDEX('素材需求'!$D$8:$D$119,MATCH(B154,'素材需求'!$A$8:$A$119,0))&amp;IF(L154="","","_"&amp;L154)&amp;".png"</x:f>
        <x:v>nm_v2_weapon_gugu_held.png</x:v>
      </x:c>
      <x:c r="B154" s="37" t="str">
        <x:v>NMV2_EQ_W05</x:v>
      </x:c>
      <x:c r="C154" s="37" t="str">
        <x:v>嘎嘎共振器</x:v>
      </x:c>
      <x:c r="D154" s="37" t="str">
        <x:f>"【交付文件】"&amp;A154&amp;CHAR(10)&amp;"【本张任务】"&amp;C154&amp;CHAR(10)&amp;'生成规范'!$B$8&amp;CHAR(10)&amp;"【单张范围】"&amp;E154&amp;CHAR(10)&amp;"【本组造型约束】"&amp;INDEX('素材需求'!$F$8:$F$119,MATCH(B154,'素材需求'!$A$8:$A$119,0))&amp;CHAR(10)&amp;"【参考对象】"&amp;F154&amp;CHAR(10)&amp;"【制作规格】"&amp;I154&amp;"；"&amp;INDEX('素材需求'!$M$8:$M$119,MATCH(B154,'素材需求'!$A$8:$A$119,0))&amp;CHAR(10)&amp;"【颜色】"&amp;'生成规范'!$B$10&amp;"；"&amp;'生成规范'!$B$11&amp;CHAR(10)&amp;"【输出规则】"&amp;'生成规范'!$B$12&amp;" 后处理对齐尺寸与轴点；交付用途："&amp;H154&amp;CHAR(10)&amp;"【禁止项】"&amp;'生成规范'!$B$9&amp;"；"&amp;INDEX('素材需求'!$N$8:$N$119,MATCH(B154,'素材需求'!$A$8:$A$119,0))</x:f>
        <x:v>【交付文件】nm_v2_weapon_gugu_held.png
【本张任务】嘎嘎共振器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浅蓝/粉白的短身圆角共振器，双层圆环或软边栅格构成正向发声面，下方握把清晰，像机构专用便携声音仪器；不画奶瓶、婴儿、治疗喷头或魔法法杖，侧向朝右，单件器械完整可握持；单一独立物件，不含员工、其他零件、对照款式、sheet、文字、背景或地面投影。
【本组造型约束】现代机构专用手持器械，干净色块和少量明暗面，克制轮廓。浅蓝/粉白的短身圆角共振器，双层圆环或软边栅格构成正向发声面，下方握把清晰，像机构专用便携声音仪器；不画奶瓶、婴儿、治疗喷头或魔法法杖 小尺寸先靠轮廓区分5种器械，再用对应收容物色点缀；透明镂空正常，主体不能半透明。
【参考对象】现代便携音频设备、圆角实验室手持仪器和舒适实握把；浅蓝/粉白的短身圆角共振器，双层圆环或软边栅格构成正向发声面，下方握把清晰，像机构专用便携声音仪器；不画奶瓶、婴儿、治疗喷头或魔法法杖 以新版员工手掌尺寸验证握持，不借用旧锈蚀、墨线排线或生物武器造型。
【制作规格】1024×512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朝右正向发声/攻击，实际握点为唯一手部挂点；母版1024×512的握点建议(352,352)，输出附握点与正向轴。近战爪同样记录掌握中心。只画器械，无手或前臂；运行显示约23—31px既有大小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不画魔法光束、火焰、弹药、光环、状态图标或文字面板；不把手画进武器，不把武器图当技能功能说明。</x:v>
      </x:c>
      <x:c r="E154" s="37" t="str">
        <x:v>只画本张：浅蓝/粉白的短身圆角共振器，双层圆环或软边栅格构成正向发声面，下方握把清晰，像机构专用便携声音仪器；不画奶瓶、婴儿、治疗喷头或魔法法杖，侧向朝右，单件器械完整可握持；单一独立物件，不含员工、其他零件、对照款式、sheet、文字、背景或地面投影。</x:v>
      </x:c>
      <x:c r="F154" s="37" t="str">
        <x:f>INDEX('素材需求'!$G$8:$G$119,MATCH(B154,'素材需求'!$A$8:$A$119,0))</x:f>
        <x:v>现代便携音频设备、圆角实验室手持仪器和舒适实握把；浅蓝/粉白的短身圆角共振器，双层圆环或软边栅格构成正向发声面，下方握把清晰，像机构专用便携声音仪器；不画奶瓶、婴儿、治疗喷头或魔法法杖 以新版员工手掌尺寸验证握持，不借用旧锈蚀、墨线排线或生物武器造型。</x:v>
      </x:c>
      <x:c r="G154" s="37" t="str">
        <x:f>INDEX('素材需求'!$B$8:$B$119,MATCH(B154,'素材需求'!$A$8:$A$119,0))</x:f>
        <x:v>P0常态</x:v>
      </x:c>
      <x:c r="H154" s="37" t="str">
        <x:v>游戏拆件／贴图</x:v>
      </x:c>
      <x:c r="I154" s="37" t="str">
        <x:v>1024×512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54" s="37" t="str">
        <x:v>art_delivery/nm_v2/equipment/</x:v>
      </x:c>
      <x:c r="K154" s="45" t="str">
        <x:v>待生成</x:v>
      </x:c>
      <x:c r="L154" s="37" t="str">
        <x:v>held</x:v>
      </x:c>
    </x:row>
    <x:row r="155" ht="300" customHeight="1">
      <x:c r="A155" s="38" t="str">
        <x:f>INDEX('素材需求'!$D$8:$D$119,MATCH(B155,'素材需求'!$A$8:$A$119,0))&amp;IF(L155="","","_"&amp;L155)&amp;".png"</x:f>
        <x:v>nm_v2_armor_gugu_torso_collar.png</x:v>
      </x:c>
      <x:c r="B155" s="38" t="str">
        <x:v>NMV2_EQ_A05</x:v>
      </x:c>
      <x:c r="C155" s="38" t="str">
        <x:v>躯干与短领</x:v>
      </x:c>
      <x:c r="D155" s="38" t="str">
        <x:f>"【交付文件】"&amp;A155&amp;CHAR(10)&amp;"【本张任务】"&amp;C155&amp;CHAR(10)&amp;'生成规范'!$B$8&amp;CHAR(10)&amp;"【单张范围】"&amp;E155&amp;CHAR(10)&amp;"【本组造型约束】"&amp;INDEX('素材需求'!$F$8:$F$119,MATCH(B155,'素材需求'!$A$8:$A$119,0))&amp;CHAR(10)&amp;"【参考对象】"&amp;F155&amp;CHAR(10)&amp;"【制作规格】"&amp;I155&amp;"；"&amp;INDEX('素材需求'!$M$8:$M$119,MATCH(B155,'素材需求'!$A$8:$A$119,0))&amp;CHAR(10)&amp;"【颜色】"&amp;'生成规范'!$B$10&amp;"；"&amp;'生成规范'!$B$11&amp;CHAR(10)&amp;"【输出规则】"&amp;'生成规范'!$B$12&amp;" 后处理对齐尺寸与轴点；交付用途："&amp;H155&amp;CHAR(10)&amp;"【禁止项】"&amp;'生成规范'!$B$9&amp;"；"&amp;INDEX('素材需求'!$N$8:$N$119,MATCH(B155,'素材需求'!$A$8:$A$119,0))</x:f>
        <x:v>【交付文件】nm_v2_armor_gugu_torso_collar.png
【本张任务】躯干与短领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【单张范围】只画本张：蓝灰结构的浅蓝/粉白短制服躯干与舒适短领，肩根短余量，无头、完整袖子或飘带；单一独立物件，不含员工、其他零件、对照款式、sheet、文字、背景或地面投影。
【本组造型约束】现代新媒体收容机构的专业防护制服，保持共用员工2.5—3头身和轻便关节空间。蓝灰结构的浅蓝/粉白短制服，舒适短领、轻肩层和两条短软织带；只用少量幼态配色强调，仍是成年人专业制服，不是护士治疗装或企鹅布偶套装 本组是5张独立部件；每张只画当前unit。防具相应躯干/肩层替代职业层，不叠两套衣服，不新增腿、发型或面部素材。
【参考对象】现代研究设施的轻便工作制服、圆角织物护肩、无字身份色块；蓝灰结构的浅蓝/粉白短制服，舒适短领、轻肩层和两条短软织带；只用少量幼态配色强调，仍是成年人专业制服，不是护士治疗装或企鹅布偶套装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55" s="38" t="str">
        <x:v>只画本张：蓝灰结构的浅蓝/粉白短制服躯干与舒适短领，肩根短余量，无头、完整袖子或飘带；单一独立物件，不含员工、其他零件、对照款式、sheet、文字、背景或地面投影。</x:v>
      </x:c>
      <x:c r="F155" s="38" t="str">
        <x:f>INDEX('素材需求'!$G$8:$G$119,MATCH(B155,'素材需求'!$A$8:$A$119,0))</x:f>
        <x:v>现代研究设施的轻便工作制服、圆角织物护肩、无字身份色块；蓝灰结构的浅蓝/粉白短制服，舒适短领、轻肩层和两条短软织带；只用少量幼态配色强调，仍是成年人专业制服，不是护士治疗装或企鹅布偶套装 与新版员工基型共用肩宽、领口与腰线。</x:v>
      </x:c>
      <x:c r="G155" s="38" t="str">
        <x:f>INDEX('素材需求'!$B$8:$B$119,MATCH(B155,'素材需求'!$A$8:$A$119,0))</x:f>
        <x:v>P0常态</x:v>
      </x:c>
      <x:c r="H155" s="38" t="str">
        <x:v>游戏拆件／贴图</x:v>
      </x:c>
      <x:c r="I15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55" s="38" t="str">
        <x:v>art_delivery/nm_v2/equipment/</x:v>
      </x:c>
      <x:c r="K155" s="45" t="str">
        <x:v>待生成</x:v>
      </x:c>
      <x:c r="L155" s="38" t="str">
        <x:v>torso_collar</x:v>
      </x:c>
    </x:row>
    <x:row r="156" ht="300" customHeight="1">
      <x:c r="A156" s="37" t="str">
        <x:f>INDEX('素材需求'!$D$8:$D$119,MATCH(B156,'素材需求'!$A$8:$A$119,0))&amp;IF(L156="","","_"&amp;L156)&amp;".png"</x:f>
        <x:v>nm_v2_armor_gugu_shoulder_near.png</x:v>
      </x:c>
      <x:c r="B156" s="37" t="str">
        <x:v>NMV2_EQ_A05</x:v>
      </x:c>
      <x:c r="C156" s="37" t="str">
        <x:v>近肩层</x:v>
      </x:c>
      <x:c r="D156" s="37" t="str">
        <x:f>"【交付文件】"&amp;A156&amp;CHAR(10)&amp;"【本张任务】"&amp;C156&amp;CHAR(10)&amp;'生成规范'!$B$8&amp;CHAR(10)&amp;"【单张范围】"&amp;E156&amp;CHAR(10)&amp;"【本组造型约束】"&amp;INDEX('素材需求'!$F$8:$F$119,MATCH(B156,'素材需求'!$A$8:$A$119,0))&amp;CHAR(10)&amp;"【参考对象】"&amp;F156&amp;CHAR(10)&amp;"【制作规格】"&amp;I156&amp;"；"&amp;INDEX('素材需求'!$M$8:$M$119,MATCH(B156,'素材需求'!$A$8:$A$119,0))&amp;CHAR(10)&amp;"【颜色】"&amp;'生成规范'!$B$10&amp;"；"&amp;'生成规范'!$B$11&amp;CHAR(10)&amp;"【输出规则】"&amp;'生成规范'!$B$12&amp;" 后处理对齐尺寸与轴点；交付用途："&amp;H156&amp;CHAR(10)&amp;"【禁止项】"&amp;'生成规范'!$B$9&amp;"；"&amp;INDEX('素材需求'!$N$8:$N$119,MATCH(B156,'素材需求'!$A$8:$A$119,0))</x:f>
        <x:v>【交付文件】nm_v2_armor_gugu_shoulder_near.png
【本张任务】近肩层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【单张范围】只画本张：一块近侧浅蓝/粉白轻肩层，柔软圆角，无整臂；单一独立物件，不含员工、其他零件、对照款式、sheet、文字、背景或地面投影。
【本组造型约束】现代新媒体收容机构的专业防护制服，保持共用员工2.5—3头身和轻便关节空间。蓝灰结构的浅蓝/粉白短制服，舒适短领、轻肩层和两条短软织带；只用少量幼态配色强调，仍是成年人专业制服，不是护士治疗装或企鹅布偶套装 本组是5张独立部件；每张只画当前unit。防具相应躯干/肩层替代职业层，不叠两套衣服，不新增腿、发型或面部素材。
【参考对象】现代研究设施的轻便工作制服、圆角织物护肩、无字身份色块；蓝灰结构的浅蓝/粉白短制服，舒适短领、轻肩层和两条短软织带；只用少量幼态配色强调，仍是成年人专业制服，不是护士治疗装或企鹅布偶套装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56" s="37" t="str">
        <x:v>只画本张：一块近侧浅蓝/粉白轻肩层，柔软圆角，无整臂；单一独立物件，不含员工、其他零件、对照款式、sheet、文字、背景或地面投影。</x:v>
      </x:c>
      <x:c r="F156" s="37" t="str">
        <x:f>INDEX('素材需求'!$G$8:$G$119,MATCH(B156,'素材需求'!$A$8:$A$119,0))</x:f>
        <x:v>现代研究设施的轻便工作制服、圆角织物护肩、无字身份色块；蓝灰结构的浅蓝/粉白短制服，舒适短领、轻肩层和两条短软织带；只用少量幼态配色强调，仍是成年人专业制服，不是护士治疗装或企鹅布偶套装 与新版员工基型共用肩宽、领口与腰线。</x:v>
      </x:c>
      <x:c r="G156" s="37" t="str">
        <x:f>INDEX('素材需求'!$B$8:$B$119,MATCH(B156,'素材需求'!$A$8:$A$119,0))</x:f>
        <x:v>P0常态</x:v>
      </x:c>
      <x:c r="H156" s="37" t="str">
        <x:v>游戏拆件／贴图</x:v>
      </x:c>
      <x:c r="I15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56" s="37" t="str">
        <x:v>art_delivery/nm_v2/equipment/</x:v>
      </x:c>
      <x:c r="K156" s="45" t="str">
        <x:v>待生成</x:v>
      </x:c>
      <x:c r="L156" s="37" t="str">
        <x:v>shoulder_near</x:v>
      </x:c>
    </x:row>
    <x:row r="157" ht="300" customHeight="1">
      <x:c r="A157" s="38" t="str">
        <x:f>INDEX('素材需求'!$D$8:$D$119,MATCH(B157,'素材需求'!$A$8:$A$119,0))&amp;IF(L157="","","_"&amp;L157)&amp;".png"</x:f>
        <x:v>nm_v2_armor_gugu_shoulder_far.png</x:v>
      </x:c>
      <x:c r="B157" s="38" t="str">
        <x:v>NMV2_EQ_A05</x:v>
      </x:c>
      <x:c r="C157" s="38" t="str">
        <x:v>远肩层</x:v>
      </x:c>
      <x:c r="D157" s="38" t="str">
        <x:f>"【交付文件】"&amp;A157&amp;CHAR(10)&amp;"【本张任务】"&amp;C157&amp;CHAR(10)&amp;'生成规范'!$B$8&amp;CHAR(10)&amp;"【单张范围】"&amp;E157&amp;CHAR(10)&amp;"【本组造型约束】"&amp;INDEX('素材需求'!$F$8:$F$119,MATCH(B157,'素材需求'!$A$8:$A$119,0))&amp;CHAR(10)&amp;"【参考对象】"&amp;F157&amp;CHAR(10)&amp;"【制作规格】"&amp;I157&amp;"；"&amp;INDEX('素材需求'!$M$8:$M$119,MATCH(B157,'素材需求'!$A$8:$A$119,0))&amp;CHAR(10)&amp;"【颜色】"&amp;'生成规范'!$B$10&amp;"；"&amp;'生成规范'!$B$11&amp;CHAR(10)&amp;"【输出规则】"&amp;'生成规范'!$B$12&amp;" 后处理对齐尺寸与轴点；交付用途："&amp;H157&amp;CHAR(10)&amp;"【禁止项】"&amp;'生成规范'!$B$9&amp;"；"&amp;INDEX('素材需求'!$N$8:$N$119,MATCH(B157,'素材需求'!$A$8:$A$119,0))</x:f>
        <x:v>【交付文件】nm_v2_armor_gugu_shoulder_far.png
【本张任务】远肩层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【单张范围】只画本张：一块远侧浅蓝/粉白轻肩层，轮廓略窄，无整臂；单一独立物件，不含员工、其他零件、对照款式、sheet、文字、背景或地面投影。
【本组造型约束】现代新媒体收容机构的专业防护制服，保持共用员工2.5—3头身和轻便关节空间。蓝灰结构的浅蓝/粉白短制服，舒适短领、轻肩层和两条短软织带；只用少量幼态配色强调，仍是成年人专业制服，不是护士治疗装或企鹅布偶套装 本组是5张独立部件；每张只画当前unit。防具相应躯干/肩层替代职业层，不叠两套衣服，不新增腿、发型或面部素材。
【参考对象】现代研究设施的轻便工作制服、圆角织物护肩、无字身份色块；蓝灰结构的浅蓝/粉白短制服，舒适短领、轻肩层和两条短软织带；只用少量幼态配色强调，仍是成年人专业制服，不是护士治疗装或企鹅布偶套装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57" s="38" t="str">
        <x:v>只画本张：一块远侧浅蓝/粉白轻肩层，轮廓略窄，无整臂；单一独立物件，不含员工、其他零件、对照款式、sheet、文字、背景或地面投影。</x:v>
      </x:c>
      <x:c r="F157" s="38" t="str">
        <x:f>INDEX('素材需求'!$G$8:$G$119,MATCH(B157,'素材需求'!$A$8:$A$119,0))</x:f>
        <x:v>现代研究设施的轻便工作制服、圆角织物护肩、无字身份色块；蓝灰结构的浅蓝/粉白短制服，舒适短领、轻肩层和两条短软织带；只用少量幼态配色强调，仍是成年人专业制服，不是护士治疗装或企鹅布偶套装 与新版员工基型共用肩宽、领口与腰线。</x:v>
      </x:c>
      <x:c r="G157" s="38" t="str">
        <x:f>INDEX('素材需求'!$B$8:$B$119,MATCH(B157,'素材需求'!$A$8:$A$119,0))</x:f>
        <x:v>P0常态</x:v>
      </x:c>
      <x:c r="H157" s="38" t="str">
        <x:v>游戏拆件／贴图</x:v>
      </x:c>
      <x:c r="I15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57" s="38" t="str">
        <x:v>art_delivery/nm_v2/equipment/</x:v>
      </x:c>
      <x:c r="K157" s="45" t="str">
        <x:v>待生成</x:v>
      </x:c>
      <x:c r="L157" s="38" t="str">
        <x:v>shoulder_far</x:v>
      </x:c>
    </x:row>
    <x:row r="158" ht="300" customHeight="1">
      <x:c r="A158" s="37" t="str">
        <x:f>INDEX('素材需求'!$D$8:$D$119,MATCH(B158,'素材需求'!$A$8:$A$119,0))&amp;IF(L158="","","_"&amp;L158)&amp;".png"</x:f>
        <x:v>nm_v2_armor_gugu_ribbon_long.png</x:v>
      </x:c>
      <x:c r="B158" s="37" t="str">
        <x:v>NMV2_EQ_A05</x:v>
      </x:c>
      <x:c r="C158" s="37" t="str">
        <x:v>较长织带</x:v>
      </x:c>
      <x:c r="D158" s="37" t="str">
        <x:f>"【交付文件】"&amp;A158&amp;CHAR(10)&amp;"【本张任务】"&amp;C158&amp;CHAR(10)&amp;'生成规范'!$B$8&amp;CHAR(10)&amp;"【单张范围】"&amp;E158&amp;CHAR(10)&amp;"【本组造型约束】"&amp;INDEX('素材需求'!$F$8:$F$119,MATCH(B158,'素材需求'!$A$8:$A$119,0))&amp;CHAR(10)&amp;"【参考对象】"&amp;F158&amp;CHAR(10)&amp;"【制作规格】"&amp;I158&amp;"；"&amp;INDEX('素材需求'!$M$8:$M$119,MATCH(B158,'素材需求'!$A$8:$A$119,0))&amp;CHAR(10)&amp;"【颜色】"&amp;'生成规范'!$B$10&amp;"；"&amp;'生成规范'!$B$11&amp;CHAR(10)&amp;"【输出规则】"&amp;'生成规范'!$B$12&amp;" 后处理对齐尺寸与轴点；交付用途："&amp;H158&amp;CHAR(10)&amp;"【禁止项】"&amp;'生成规范'!$B$9&amp;"；"&amp;INDEX('素材需求'!$N$8:$N$119,MATCH(B158,'素材需求'!$A$8:$A$119,0))</x:f>
        <x:v>【交付文件】nm_v2_armor_gugu_ribbon_long.png
【本张任务】较长织带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【单张范围】只画本张：一条较长但不拖地的浅蓝粉白柔软织带，根部明确，无制服、领圈或另一条带；单一独立物件，不含员工、其他零件、对照款式、sheet、文字、背景或地面投影。
【本组造型约束】现代新媒体收容机构的专业防护制服，保持共用员工2.5—3头身和轻便关节空间。蓝灰结构的浅蓝/粉白短制服，舒适短领、轻肩层和两条短软织带；只用少量幼态配色强调，仍是成年人专业制服，不是护士治疗装或企鹅布偶套装 本组是5张独立部件；每张只画当前unit。防具相应躯干/肩层替代职业层，不叠两套衣服，不新增腿、发型或面部素材。
【参考对象】现代研究设施的轻便工作制服、圆角织物护肩、无字身份色块；蓝灰结构的浅蓝/粉白短制服，舒适短领、轻肩层和两条短软织带；只用少量幼态配色强调，仍是成年人专业制服，不是护士治疗装或企鹅布偶套装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58" s="37" t="str">
        <x:v>只画本张：一条较长但不拖地的浅蓝粉白柔软织带，根部明确，无制服、领圈或另一条带；单一独立物件，不含员工、其他零件、对照款式、sheet、文字、背景或地面投影。</x:v>
      </x:c>
      <x:c r="F158" s="37" t="str">
        <x:f>INDEX('素材需求'!$G$8:$G$119,MATCH(B158,'素材需求'!$A$8:$A$119,0))</x:f>
        <x:v>现代研究设施的轻便工作制服、圆角织物护肩、无字身份色块；蓝灰结构的浅蓝/粉白短制服，舒适短领、轻肩层和两条短软织带；只用少量幼态配色强调，仍是成年人专业制服，不是护士治疗装或企鹅布偶套装 与新版员工基型共用肩宽、领口与腰线。</x:v>
      </x:c>
      <x:c r="G158" s="37" t="str">
        <x:f>INDEX('素材需求'!$B$8:$B$119,MATCH(B158,'素材需求'!$A$8:$A$119,0))</x:f>
        <x:v>P0常态</x:v>
      </x:c>
      <x:c r="H158" s="37" t="str">
        <x:v>游戏拆件／贴图</x:v>
      </x:c>
      <x:c r="I15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58" s="37" t="str">
        <x:v>art_delivery/nm_v2/equipment/</x:v>
      </x:c>
      <x:c r="K158" s="45" t="str">
        <x:v>待生成</x:v>
      </x:c>
      <x:c r="L158" s="37" t="str">
        <x:v>ribbon_long</x:v>
      </x:c>
    </x:row>
    <x:row r="159" ht="300" customHeight="1">
      <x:c r="A159" s="38" t="str">
        <x:f>INDEX('素材需求'!$D$8:$D$119,MATCH(B159,'素材需求'!$A$8:$A$119,0))&amp;IF(L159="","","_"&amp;L159)&amp;".png"</x:f>
        <x:v>nm_v2_armor_gugu_ribbon_short.png</x:v>
      </x:c>
      <x:c r="B159" s="38" t="str">
        <x:v>NMV2_EQ_A05</x:v>
      </x:c>
      <x:c r="C159" s="38" t="str">
        <x:v>较短织带</x:v>
      </x:c>
      <x:c r="D159" s="38" t="str">
        <x:f>"【交付文件】"&amp;A159&amp;CHAR(10)&amp;"【本张任务】"&amp;C159&amp;CHAR(10)&amp;'生成规范'!$B$8&amp;CHAR(10)&amp;"【单张范围】"&amp;E159&amp;CHAR(10)&amp;"【本组造型约束】"&amp;INDEX('素材需求'!$F$8:$F$119,MATCH(B159,'素材需求'!$A$8:$A$119,0))&amp;CHAR(10)&amp;"【参考对象】"&amp;F159&amp;CHAR(10)&amp;"【制作规格】"&amp;I159&amp;"；"&amp;INDEX('素材需求'!$M$8:$M$119,MATCH(B159,'素材需求'!$A$8:$A$119,0))&amp;CHAR(10)&amp;"【颜色】"&amp;'生成规范'!$B$10&amp;"；"&amp;'生成规范'!$B$11&amp;CHAR(10)&amp;"【输出规则】"&amp;'生成规范'!$B$12&amp;" 后处理对齐尺寸与轴点；交付用途："&amp;H159&amp;CHAR(10)&amp;"【禁止项】"&amp;'生成规范'!$B$9&amp;"；"&amp;INDEX('素材需求'!$N$8:$N$119,MATCH(B159,'素材需求'!$A$8:$A$119,0))</x:f>
        <x:v>【交付文件】nm_v2_armor_gugu_ribbon_short.png
【本张任务】较短织带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【单张范围】只画本张：一条较短的浅蓝粉白柔软织带，根部明确，无制服、领圈或另一条带；单一独立物件，不含员工、其他零件、对照款式、sheet、文字、背景或地面投影。
【本组造型约束】现代新媒体收容机构的专业防护制服，保持共用员工2.5—3头身和轻便关节空间。蓝灰结构的浅蓝/粉白短制服，舒适短领、轻肩层和两条短软织带；只用少量幼态配色强调，仍是成年人专业制服，不是护士治疗装或企鹅布偶套装 本组是5张独立部件；每张只画当前unit。防具相应躯干/肩层替代职业层，不叠两套衣服，不新增腿、发型或面部素材。
【参考对象】现代研究设施的轻便工作制服、圆角织物护肩、无字身份色块；蓝灰结构的浅蓝/粉白短制服，舒适短领、轻肩层和两条短软织带；只用少量幼态配色强调，仍是成年人专业制服，不是护士治疗装或企鹅布偶套装 与新版员工基型共用肩宽、领口与腰线。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 不画重型士兵护甲、满身动物皮、永久发光护盾、疗愈光环、治疗十字、属性数字或技能按钮。</x:v>
      </x:c>
      <x:c r="E159" s="38" t="str">
        <x:v>只画本张：一条较短的浅蓝粉白柔软织带，根部明确，无制服、领圈或另一条带；单一独立物件，不含员工、其他零件、对照款式、sheet、文字、背景或地面投影。</x:v>
      </x:c>
      <x:c r="F159" s="38" t="str">
        <x:f>INDEX('素材需求'!$G$8:$G$119,MATCH(B159,'素材需求'!$A$8:$A$119,0))</x:f>
        <x:v>现代研究设施的轻便工作制服、圆角织物护肩、无字身份色块；蓝灰结构的浅蓝/粉白短制服，舒适短领、轻肩层和两条短软织带；只用少量幼态配色强调，仍是成年人专业制服，不是护士治疗装或企鹅布偶套装 与新版员工基型共用肩宽、领口与腰线。</x:v>
      </x:c>
      <x:c r="G159" s="38" t="str">
        <x:f>INDEX('素材需求'!$B$8:$B$119,MATCH(B159,'素材需求'!$A$8:$A$119,0))</x:f>
        <x:v>P0常态</x:v>
      </x:c>
      <x:c r="H159" s="38" t="str">
        <x:v>游戏拆件／贴图</x:v>
      </x:c>
      <x:c r="I15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159" s="38" t="str">
        <x:v>art_delivery/nm_v2/equipment/</x:v>
      </x:c>
      <x:c r="K159" s="45" t="str">
        <x:v>待生成</x:v>
      </x:c>
      <x:c r="L159" s="38" t="str">
        <x:v>ribbon_short</x:v>
      </x:c>
    </x:row>
    <x:row r="160" ht="285.75" customHeight="1">
      <x:c r="A160" s="37" t="str">
        <x:f>INDEX('素材需求'!$D$8:$D$119,MATCH(B160,'素材需求'!$A$8:$A$119,0))&amp;IF(L160="","","_"&amp;L160)&amp;".png"</x:f>
        <x:v>nm_v2_env_room_shell_corner_top_left.png</x:v>
      </x:c>
      <x:c r="B160" s="37" t="str">
        <x:v>ENV_V2_001</x:v>
      </x:c>
      <x:c r="C160" s="37" t="str">
        <x:v>房框左上切角</x:v>
      </x:c>
      <x:c r="D160" s="37" t="str">
        <x:f>"【交付文件】"&amp;A160&amp;CHAR(10)&amp;"【本张任务】"&amp;C160&amp;CHAR(10)&amp;'生成规范'!$B$8&amp;CHAR(10)&amp;"【单张范围】"&amp;E160&amp;CHAR(10)&amp;"【本组造型约束】"&amp;INDEX('素材需求'!$F$8:$F$119,MATCH(B160,'素材需求'!$A$8:$A$119,0))&amp;CHAR(10)&amp;"【参考对象】"&amp;F160&amp;CHAR(10)&amp;"【制作规格】"&amp;I160&amp;"；"&amp;INDEX('素材需求'!$M$8:$M$119,MATCH(B160,'素材需求'!$A$8:$A$119,0))&amp;CHAR(10)&amp;"【颜色】"&amp;'生成规范'!$B$10&amp;"；"&amp;'生成规范'!$B$11&amp;CHAR(10)&amp;"【输出规则】"&amp;'生成规范'!$B$12&amp;" 后处理对齐尺寸与轴点；交付用途："&amp;H160&amp;CHAR(10)&amp;"【禁止项】"&amp;'生成规范'!$B$9&amp;"；"&amp;INDEX('素材需求'!$N$8:$N$119,MATCH(B160,'素材需求'!$A$8:$A$119,0))</x:f>
        <x:v>【交付文件】nm_v2_env_room_shell_corner_top_left.png
【本张任务】房框左上切角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【单张范围】本次只画512×512的左上切角金属框，上梁接口向右、侧壁接口向下，冷白内沿朝右下；单件独立PNG，不附其他同组部件、人物或背景。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金属蓝灰厚框配冷白窄内沿；上角小切角、下角方正，接口严格平直。框内完全留空；梁可横向重复，壁可竖向重复；不能靠横向拉伸角件凑宽度。
【参考对象】现代科研楼模块化金属门厅框、洁净室铝合金围护框与细窄冷白内衬，参考平直拼接端和切角连接结构。只参考结构，按本版色板绘制为二维正交侧视素材，不照搬对象的原配色、品牌或文字。
【制作规格】512×512 px；单张RGBA透明PNG，sRGB，8bit；画布外缘和非主体区域透明。；角件连接内角；梁/壁沿拼接直边起点。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60" s="37" t="str">
        <x:v>本次只画512×512的左上切角金属框，上梁接口向右、侧壁接口向下，冷白内沿朝右下；单件独立PNG，不附其他同组部件、人物或背景。</x:v>
      </x:c>
      <x:c r="F160" s="37" t="str">
        <x:f>INDEX('素材需求'!$G$8:$G$119,MATCH(B160,'素材需求'!$A$8:$A$119,0))</x:f>
        <x:v>现代科研楼模块化金属门厅框、洁净室铝合金围护框与细窄冷白内衬，参考平直拼接端和切角连接结构。只参考结构，按本版色板绘制为二维正交侧视素材，不照搬对象的原配色、品牌或文字。</x:v>
      </x:c>
      <x:c r="G160" s="37" t="str">
        <x:f>INDEX('素材需求'!$B$8:$B$119,MATCH(B160,'素材需求'!$A$8:$A$119,0))</x:f>
        <x:v>P0常态</x:v>
      </x:c>
      <x:c r="H160" s="37" t="str">
        <x:v>游戏拆件／贴图</x:v>
      </x:c>
      <x:c r="I160" s="37" t="str">
        <x:v>512×512 px；单张RGBA透明PNG，sRGB，8bit；画布外缘和非主体区域透明。</x:v>
      </x:c>
      <x:c r="J160" s="37" t="str">
        <x:v>art_delivery/nm_v2/environment/</x:v>
      </x:c>
      <x:c r="K160" s="45" t="str">
        <x:v>待生成</x:v>
      </x:c>
      <x:c r="L160" s="37" t="str">
        <x:v>corner_top_left</x:v>
      </x:c>
    </x:row>
    <x:row r="161" ht="285.75" customHeight="1">
      <x:c r="A161" s="38" t="str">
        <x:f>INDEX('素材需求'!$D$8:$D$119,MATCH(B161,'素材需求'!$A$8:$A$119,0))&amp;IF(L161="","","_"&amp;L161)&amp;".png"</x:f>
        <x:v>nm_v2_env_room_shell_corner_top_right.png</x:v>
      </x:c>
      <x:c r="B161" s="38" t="str">
        <x:v>ENV_V2_001</x:v>
      </x:c>
      <x:c r="C161" s="38" t="str">
        <x:v>房框右上切角</x:v>
      </x:c>
      <x:c r="D161" s="38" t="str">
        <x:f>"【交付文件】"&amp;A161&amp;CHAR(10)&amp;"【本张任务】"&amp;C161&amp;CHAR(10)&amp;'生成规范'!$B$8&amp;CHAR(10)&amp;"【单张范围】"&amp;E161&amp;CHAR(10)&amp;"【本组造型约束】"&amp;INDEX('素材需求'!$F$8:$F$119,MATCH(B161,'素材需求'!$A$8:$A$119,0))&amp;CHAR(10)&amp;"【参考对象】"&amp;F161&amp;CHAR(10)&amp;"【制作规格】"&amp;I161&amp;"；"&amp;INDEX('素材需求'!$M$8:$M$119,MATCH(B161,'素材需求'!$A$8:$A$119,0))&amp;CHAR(10)&amp;"【颜色】"&amp;'生成规范'!$B$10&amp;"；"&amp;'生成规范'!$B$11&amp;CHAR(10)&amp;"【输出规则】"&amp;'生成规范'!$B$12&amp;" 后处理对齐尺寸与轴点；交付用途："&amp;H161&amp;CHAR(10)&amp;"【禁止项】"&amp;'生成规范'!$B$9&amp;"；"&amp;INDEX('素材需求'!$N$8:$N$119,MATCH(B161,'素材需求'!$A$8:$A$119,0))</x:f>
        <x:v>【交付文件】nm_v2_env_room_shell_corner_top_right.png
【本张任务】房框右上切角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【单张范围】本次只画512×512的右上切角金属框，上梁接口向左、侧壁接口向下，冷白内沿朝左下；单件独立PNG，不附其他同组部件、人物或背景。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金属蓝灰厚框配冷白窄内沿；上角小切角、下角方正，接口严格平直。框内完全留空；梁可横向重复，壁可竖向重复；不能靠横向拉伸角件凑宽度。
【参考对象】现代科研楼模块化金属门厅框、洁净室铝合金围护框与细窄冷白内衬，参考平直拼接端和切角连接结构。只参考结构，按本版色板绘制为二维正交侧视素材，不照搬对象的原配色、品牌或文字。
【制作规格】512×512 px；单张RGBA透明PNG，sRGB，8bit；画布外缘和非主体区域透明。；角件连接内角；梁/壁沿拼接直边起点。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61" s="38" t="str">
        <x:v>本次只画512×512的右上切角金属框，上梁接口向左、侧壁接口向下，冷白内沿朝左下；单件独立PNG，不附其他同组部件、人物或背景。</x:v>
      </x:c>
      <x:c r="F161" s="38" t="str">
        <x:f>INDEX('素材需求'!$G$8:$G$119,MATCH(B161,'素材需求'!$A$8:$A$119,0))</x:f>
        <x:v>现代科研楼模块化金属门厅框、洁净室铝合金围护框与细窄冷白内衬，参考平直拼接端和切角连接结构。只参考结构，按本版色板绘制为二维正交侧视素材，不照搬对象的原配色、品牌或文字。</x:v>
      </x:c>
      <x:c r="G161" s="38" t="str">
        <x:f>INDEX('素材需求'!$B$8:$B$119,MATCH(B161,'素材需求'!$A$8:$A$119,0))</x:f>
        <x:v>P0常态</x:v>
      </x:c>
      <x:c r="H161" s="38" t="str">
        <x:v>游戏拆件／贴图</x:v>
      </x:c>
      <x:c r="I161" s="38" t="str">
        <x:v>512×512 px；单张RGBA透明PNG，sRGB，8bit；画布外缘和非主体区域透明。</x:v>
      </x:c>
      <x:c r="J161" s="38" t="str">
        <x:v>art_delivery/nm_v2/environment/</x:v>
      </x:c>
      <x:c r="K161" s="45" t="str">
        <x:v>待生成</x:v>
      </x:c>
      <x:c r="L161" s="38" t="str">
        <x:v>corner_top_right</x:v>
      </x:c>
    </x:row>
    <x:row r="162" ht="285.75" customHeight="1">
      <x:c r="A162" s="37" t="str">
        <x:f>INDEX('素材需求'!$D$8:$D$119,MATCH(B162,'素材需求'!$A$8:$A$119,0))&amp;IF(L162="","","_"&amp;L162)&amp;".png"</x:f>
        <x:v>nm_v2_env_room_shell_corner_bottom_left.png</x:v>
      </x:c>
      <x:c r="B162" s="37" t="str">
        <x:v>ENV_V2_001</x:v>
      </x:c>
      <x:c r="C162" s="37" t="str">
        <x:v>房框左下直角</x:v>
      </x:c>
      <x:c r="D162" s="37" t="str">
        <x:f>"【交付文件】"&amp;A162&amp;CHAR(10)&amp;"【本张任务】"&amp;C162&amp;CHAR(10)&amp;'生成规范'!$B$8&amp;CHAR(10)&amp;"【单张范围】"&amp;E162&amp;CHAR(10)&amp;"【本组造型约束】"&amp;INDEX('素材需求'!$F$8:$F$119,MATCH(B162,'素材需求'!$A$8:$A$119,0))&amp;CHAR(10)&amp;"【参考对象】"&amp;F162&amp;CHAR(10)&amp;"【制作规格】"&amp;I162&amp;"；"&amp;INDEX('素材需求'!$M$8:$M$119,MATCH(B162,'素材需求'!$A$8:$A$119,0))&amp;CHAR(10)&amp;"【颜色】"&amp;'生成规范'!$B$10&amp;"；"&amp;'生成规范'!$B$11&amp;CHAR(10)&amp;"【输出规则】"&amp;'生成规范'!$B$12&amp;" 后处理对齐尺寸与轴点；交付用途："&amp;H162&amp;CHAR(10)&amp;"【禁止项】"&amp;'生成规范'!$B$9&amp;"；"&amp;INDEX('素材需求'!$N$8:$N$119,MATCH(B162,'素材需求'!$A$8:$A$119,0))</x:f>
        <x:v>【交付文件】nm_v2_env_room_shell_corner_bottom_left.png
【本张任务】房框左下直角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【单张范围】本次只画512×512的左下直角金属框，接口向右及向上，不画顶角切角；单件独立PNG，不附其他同组部件、人物或背景。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金属蓝灰厚框配冷白窄内沿；上角小切角、下角方正，接口严格平直。框内完全留空；梁可横向重复，壁可竖向重复；不能靠横向拉伸角件凑宽度。
【参考对象】现代科研楼模块化金属门厅框、洁净室铝合金围护框与细窄冷白内衬，参考平直拼接端和切角连接结构。只参考结构，按本版色板绘制为二维正交侧视素材，不照搬对象的原配色、品牌或文字。
【制作规格】512×512 px；单张RGBA透明PNG，sRGB，8bit；画布外缘和非主体区域透明。；角件连接内角；梁/壁沿拼接直边起点。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62" s="37" t="str">
        <x:v>本次只画512×512的左下直角金属框，接口向右及向上，不画顶角切角；单件独立PNG，不附其他同组部件、人物或背景。</x:v>
      </x:c>
      <x:c r="F162" s="37" t="str">
        <x:f>INDEX('素材需求'!$G$8:$G$119,MATCH(B162,'素材需求'!$A$8:$A$119,0))</x:f>
        <x:v>现代科研楼模块化金属门厅框、洁净室铝合金围护框与细窄冷白内衬，参考平直拼接端和切角连接结构。只参考结构，按本版色板绘制为二维正交侧视素材，不照搬对象的原配色、品牌或文字。</x:v>
      </x:c>
      <x:c r="G162" s="37" t="str">
        <x:f>INDEX('素材需求'!$B$8:$B$119,MATCH(B162,'素材需求'!$A$8:$A$119,0))</x:f>
        <x:v>P0常态</x:v>
      </x:c>
      <x:c r="H162" s="37" t="str">
        <x:v>游戏拆件／贴图</x:v>
      </x:c>
      <x:c r="I162" s="37" t="str">
        <x:v>512×512 px；单张RGBA透明PNG，sRGB，8bit；画布外缘和非主体区域透明。</x:v>
      </x:c>
      <x:c r="J162" s="37" t="str">
        <x:v>art_delivery/nm_v2/environment/</x:v>
      </x:c>
      <x:c r="K162" s="45" t="str">
        <x:v>待生成</x:v>
      </x:c>
      <x:c r="L162" s="37" t="str">
        <x:v>corner_bottom_left</x:v>
      </x:c>
    </x:row>
    <x:row r="163" ht="285.75" customHeight="1">
      <x:c r="A163" s="38" t="str">
        <x:f>INDEX('素材需求'!$D$8:$D$119,MATCH(B163,'素材需求'!$A$8:$A$119,0))&amp;IF(L163="","","_"&amp;L163)&amp;".png"</x:f>
        <x:v>nm_v2_env_room_shell_corner_bottom_right.png</x:v>
      </x:c>
      <x:c r="B163" s="38" t="str">
        <x:v>ENV_V2_001</x:v>
      </x:c>
      <x:c r="C163" s="38" t="str">
        <x:v>房框右下直角</x:v>
      </x:c>
      <x:c r="D163" s="38" t="str">
        <x:f>"【交付文件】"&amp;A163&amp;CHAR(10)&amp;"【本张任务】"&amp;C163&amp;CHAR(10)&amp;'生成规范'!$B$8&amp;CHAR(10)&amp;"【单张范围】"&amp;E163&amp;CHAR(10)&amp;"【本组造型约束】"&amp;INDEX('素材需求'!$F$8:$F$119,MATCH(B163,'素材需求'!$A$8:$A$119,0))&amp;CHAR(10)&amp;"【参考对象】"&amp;F163&amp;CHAR(10)&amp;"【制作规格】"&amp;I163&amp;"；"&amp;INDEX('素材需求'!$M$8:$M$119,MATCH(B163,'素材需求'!$A$8:$A$119,0))&amp;CHAR(10)&amp;"【颜色】"&amp;'生成规范'!$B$10&amp;"；"&amp;'生成规范'!$B$11&amp;CHAR(10)&amp;"【输出规则】"&amp;'生成规范'!$B$12&amp;" 后处理对齐尺寸与轴点；交付用途："&amp;H163&amp;CHAR(10)&amp;"【禁止项】"&amp;'生成规范'!$B$9&amp;"；"&amp;INDEX('素材需求'!$N$8:$N$119,MATCH(B163,'素材需求'!$A$8:$A$119,0))</x:f>
        <x:v>【交付文件】nm_v2_env_room_shell_corner_bottom_right.png
【本张任务】房框右下直角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【单张范围】本次只画512×512的右下直角金属框，接口向左及向上，不画顶角切角；单件独立PNG，不附其他同组部件、人物或背景。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金属蓝灰厚框配冷白窄内沿；上角小切角、下角方正，接口严格平直。框内完全留空；梁可横向重复，壁可竖向重复；不能靠横向拉伸角件凑宽度。
【参考对象】现代科研楼模块化金属门厅框、洁净室铝合金围护框与细窄冷白内衬，参考平直拼接端和切角连接结构。只参考结构，按本版色板绘制为二维正交侧视素材，不照搬对象的原配色、品牌或文字。
【制作规格】512×512 px；单张RGBA透明PNG，sRGB，8bit；画布外缘和非主体区域透明。；角件连接内角；梁/壁沿拼接直边起点。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63" s="38" t="str">
        <x:v>本次只画512×512的右下直角金属框，接口向左及向上，不画顶角切角；单件独立PNG，不附其他同组部件、人物或背景。</x:v>
      </x:c>
      <x:c r="F163" s="38" t="str">
        <x:f>INDEX('素材需求'!$G$8:$G$119,MATCH(B163,'素材需求'!$A$8:$A$119,0))</x:f>
        <x:v>现代科研楼模块化金属门厅框、洁净室铝合金围护框与细窄冷白内衬，参考平直拼接端和切角连接结构。只参考结构，按本版色板绘制为二维正交侧视素材，不照搬对象的原配色、品牌或文字。</x:v>
      </x:c>
      <x:c r="G163" s="38" t="str">
        <x:f>INDEX('素材需求'!$B$8:$B$119,MATCH(B163,'素材需求'!$A$8:$A$119,0))</x:f>
        <x:v>P0常态</x:v>
      </x:c>
      <x:c r="H163" s="38" t="str">
        <x:v>游戏拆件／贴图</x:v>
      </x:c>
      <x:c r="I163" s="38" t="str">
        <x:v>512×512 px；单张RGBA透明PNG，sRGB，8bit；画布外缘和非主体区域透明。</x:v>
      </x:c>
      <x:c r="J163" s="38" t="str">
        <x:v>art_delivery/nm_v2/environment/</x:v>
      </x:c>
      <x:c r="K163" s="45" t="str">
        <x:v>待生成</x:v>
      </x:c>
      <x:c r="L163" s="38" t="str">
        <x:v>corner_bottom_right</x:v>
      </x:c>
    </x:row>
    <x:row r="164" ht="285.75" customHeight="1">
      <x:c r="A164" s="37" t="str">
        <x:f>INDEX('素材需求'!$D$8:$D$119,MATCH(B164,'素材需求'!$A$8:$A$119,0))&amp;IF(L164="","","_"&amp;L164)&amp;".png"</x:f>
        <x:v>nm_v2_env_room_shell_beam_top.png</x:v>
      </x:c>
      <x:c r="B164" s="37" t="str">
        <x:v>ENV_V2_001</x:v>
      </x:c>
      <x:c r="C164" s="37" t="str">
        <x:v>房框顶部横梁</x:v>
      </x:c>
      <x:c r="D164" s="37" t="str">
        <x:f>"【交付文件】"&amp;A164&amp;CHAR(10)&amp;"【本张任务】"&amp;C164&amp;CHAR(10)&amp;'生成规范'!$B$8&amp;CHAR(10)&amp;"【单张范围】"&amp;E164&amp;CHAR(10)&amp;"【本组造型约束】"&amp;INDEX('素材需求'!$F$8:$F$119,MATCH(B164,'素材需求'!$A$8:$A$119,0))&amp;CHAR(10)&amp;"【参考对象】"&amp;F164&amp;CHAR(10)&amp;"【制作规格】"&amp;I164&amp;"；"&amp;INDEX('素材需求'!$M$8:$M$119,MATCH(B164,'素材需求'!$A$8:$A$119,0))&amp;CHAR(10)&amp;"【颜色】"&amp;'生成规范'!$B$10&amp;"；"&amp;'生成规范'!$B$11&amp;CHAR(10)&amp;"【输出规则】"&amp;'生成规范'!$B$12&amp;" 后处理对齐尺寸与轴点；交付用途："&amp;H164&amp;CHAR(10)&amp;"【禁止项】"&amp;'生成规范'!$B$9&amp;"；"&amp;INDEX('素材需求'!$N$8:$N$119,MATCH(B164,'素材需求'!$A$8:$A$119,0))</x:f>
        <x:v>【交付文件】nm_v2_env_room_shell_beam_top.png
【本张任务】房框顶部横梁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【单张范围】本次只画1024×256的顶部直梁，内沿向下，左右同截面接口；单件独立PNG，不附其他同组部件、人物或背景。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金属蓝灰厚框配冷白窄内沿；上角小切角、下角方正，接口严格平直。框内完全留空；梁可横向重复，壁可竖向重复；不能靠横向拉伸角件凑宽度。
【参考对象】现代科研楼模块化金属门厅框、洁净室铝合金围护框与细窄冷白内衬，参考平直拼接端和切角连接结构。只参考结构，按本版色板绘制为二维正交侧视素材，不照搬对象的原配色、品牌或文字。
【制作规格】1024×256 px；单张RGBA透明PNG，sRGB，8bit；画布外缘和非主体区域透明。；角件连接内角；梁/壁沿拼接直边起点。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64" s="37" t="str">
        <x:v>本次只画1024×256的顶部直梁，内沿向下，左右同截面接口；单件独立PNG，不附其他同组部件、人物或背景。</x:v>
      </x:c>
      <x:c r="F164" s="37" t="str">
        <x:f>INDEX('素材需求'!$G$8:$G$119,MATCH(B164,'素材需求'!$A$8:$A$119,0))</x:f>
        <x:v>现代科研楼模块化金属门厅框、洁净室铝合金围护框与细窄冷白内衬，参考平直拼接端和切角连接结构。只参考结构，按本版色板绘制为二维正交侧视素材，不照搬对象的原配色、品牌或文字。</x:v>
      </x:c>
      <x:c r="G164" s="37" t="str">
        <x:f>INDEX('素材需求'!$B$8:$B$119,MATCH(B164,'素材需求'!$A$8:$A$119,0))</x:f>
        <x:v>P0常态</x:v>
      </x:c>
      <x:c r="H164" s="37" t="str">
        <x:v>游戏拆件／贴图</x:v>
      </x:c>
      <x:c r="I164" s="37" t="str">
        <x:v>1024×256 px；单张RGBA透明PNG，sRGB，8bit；画布外缘和非主体区域透明。</x:v>
      </x:c>
      <x:c r="J164" s="37" t="str">
        <x:v>art_delivery/nm_v2/environment/</x:v>
      </x:c>
      <x:c r="K164" s="45" t="str">
        <x:v>待生成</x:v>
      </x:c>
      <x:c r="L164" s="37" t="str">
        <x:v>beam_top</x:v>
      </x:c>
    </x:row>
    <x:row r="165" ht="285.75" customHeight="1">
      <x:c r="A165" s="38" t="str">
        <x:f>INDEX('素材需求'!$D$8:$D$119,MATCH(B165,'素材需求'!$A$8:$A$119,0))&amp;IF(L165="","","_"&amp;L165)&amp;".png"</x:f>
        <x:v>nm_v2_env_room_shell_beam_bottom.png</x:v>
      </x:c>
      <x:c r="B165" s="38" t="str">
        <x:v>ENV_V2_001</x:v>
      </x:c>
      <x:c r="C165" s="38" t="str">
        <x:v>房框底部横梁</x:v>
      </x:c>
      <x:c r="D165" s="38" t="str">
        <x:f>"【交付文件】"&amp;A165&amp;CHAR(10)&amp;"【本张任务】"&amp;C165&amp;CHAR(10)&amp;'生成规范'!$B$8&amp;CHAR(10)&amp;"【单张范围】"&amp;E165&amp;CHAR(10)&amp;"【本组造型约束】"&amp;INDEX('素材需求'!$F$8:$F$119,MATCH(B165,'素材需求'!$A$8:$A$119,0))&amp;CHAR(10)&amp;"【参考对象】"&amp;F165&amp;CHAR(10)&amp;"【制作规格】"&amp;I165&amp;"；"&amp;INDEX('素材需求'!$M$8:$M$119,MATCH(B165,'素材需求'!$A$8:$A$119,0))&amp;CHAR(10)&amp;"【颜色】"&amp;'生成规范'!$B$10&amp;"；"&amp;'生成规范'!$B$11&amp;CHAR(10)&amp;"【输出规则】"&amp;'生成规范'!$B$12&amp;" 后处理对齐尺寸与轴点；交付用途："&amp;H165&amp;CHAR(10)&amp;"【禁止项】"&amp;'生成规范'!$B$9&amp;"；"&amp;INDEX('素材需求'!$N$8:$N$119,MATCH(B165,'素材需求'!$A$8:$A$119,0))</x:f>
        <x:v>【交付文件】nm_v2_env_room_shell_beam_bottom.png
【本张任务】房框底部横梁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【单张范围】本次只画1024×256的底部外壳直梁，内沿向上，不画可行走表面；单件独立PNG，不附其他同组部件、人物或背景。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金属蓝灰厚框配冷白窄内沿；上角小切角、下角方正，接口严格平直。框内完全留空；梁可横向重复，壁可竖向重复；不能靠横向拉伸角件凑宽度。
【参考对象】现代科研楼模块化金属门厅框、洁净室铝合金围护框与细窄冷白内衬，参考平直拼接端和切角连接结构。只参考结构，按本版色板绘制为二维正交侧视素材，不照搬对象的原配色、品牌或文字。
【制作规格】1024×256 px；单张RGBA透明PNG，sRGB，8bit；画布外缘和非主体区域透明。；角件连接内角；梁/壁沿拼接直边起点。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65" s="38" t="str">
        <x:v>本次只画1024×256的底部外壳直梁，内沿向上，不画可行走表面；单件独立PNG，不附其他同组部件、人物或背景。</x:v>
      </x:c>
      <x:c r="F165" s="38" t="str">
        <x:f>INDEX('素材需求'!$G$8:$G$119,MATCH(B165,'素材需求'!$A$8:$A$119,0))</x:f>
        <x:v>现代科研楼模块化金属门厅框、洁净室铝合金围护框与细窄冷白内衬，参考平直拼接端和切角连接结构。只参考结构，按本版色板绘制为二维正交侧视素材，不照搬对象的原配色、品牌或文字。</x:v>
      </x:c>
      <x:c r="G165" s="38" t="str">
        <x:f>INDEX('素材需求'!$B$8:$B$119,MATCH(B165,'素材需求'!$A$8:$A$119,0))</x:f>
        <x:v>P0常态</x:v>
      </x:c>
      <x:c r="H165" s="38" t="str">
        <x:v>游戏拆件／贴图</x:v>
      </x:c>
      <x:c r="I165" s="38" t="str">
        <x:v>1024×256 px；单张RGBA透明PNG，sRGB，8bit；画布外缘和非主体区域透明。</x:v>
      </x:c>
      <x:c r="J165" s="38" t="str">
        <x:v>art_delivery/nm_v2/environment/</x:v>
      </x:c>
      <x:c r="K165" s="45" t="str">
        <x:v>待生成</x:v>
      </x:c>
      <x:c r="L165" s="38" t="str">
        <x:v>beam_bottom</x:v>
      </x:c>
    </x:row>
    <x:row r="166" ht="285.75" customHeight="1">
      <x:c r="A166" s="37" t="str">
        <x:f>INDEX('素材需求'!$D$8:$D$119,MATCH(B166,'素材需求'!$A$8:$A$119,0))&amp;IF(L166="","","_"&amp;L166)&amp;".png"</x:f>
        <x:v>nm_v2_env_room_shell_wall_left.png</x:v>
      </x:c>
      <x:c r="B166" s="37" t="str">
        <x:v>ENV_V2_001</x:v>
      </x:c>
      <x:c r="C166" s="37" t="str">
        <x:v>房框左侧竖壁</x:v>
      </x:c>
      <x:c r="D166" s="37" t="str">
        <x:f>"【交付文件】"&amp;A166&amp;CHAR(10)&amp;"【本张任务】"&amp;C166&amp;CHAR(10)&amp;'生成规范'!$B$8&amp;CHAR(10)&amp;"【单张范围】"&amp;E166&amp;CHAR(10)&amp;"【本组造型约束】"&amp;INDEX('素材需求'!$F$8:$F$119,MATCH(B166,'素材需求'!$A$8:$A$119,0))&amp;CHAR(10)&amp;"【参考对象】"&amp;F166&amp;CHAR(10)&amp;"【制作规格】"&amp;I166&amp;"；"&amp;INDEX('素材需求'!$M$8:$M$119,MATCH(B166,'素材需求'!$A$8:$A$119,0))&amp;CHAR(10)&amp;"【颜色】"&amp;'生成规范'!$B$10&amp;"；"&amp;'生成规范'!$B$11&amp;CHAR(10)&amp;"【输出规则】"&amp;'生成规范'!$B$12&amp;" 后处理对齐尺寸与轴点；交付用途："&amp;H166&amp;CHAR(10)&amp;"【禁止项】"&amp;'生成规范'!$B$9&amp;"；"&amp;INDEX('素材需求'!$N$8:$N$119,MATCH(B166,'素材需求'!$A$8:$A$119,0))</x:f>
        <x:v>【交付文件】nm_v2_env_room_shell_wall_left.png
【本张任务】房框左侧竖壁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【单张范围】本次只画256×1024的左侧直壁，内沿向右，上下同截面接口，不含门洞；单件独立PNG，不附其他同组部件、人物或背景。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金属蓝灰厚框配冷白窄内沿；上角小切角、下角方正，接口严格平直。框内完全留空；梁可横向重复，壁可竖向重复；不能靠横向拉伸角件凑宽度。
【参考对象】现代科研楼模块化金属门厅框、洁净室铝合金围护框与细窄冷白内衬，参考平直拼接端和切角连接结构。只参考结构，按本版色板绘制为二维正交侧视素材，不照搬对象的原配色、品牌或文字。
【制作规格】256×1024 px；单张RGBA透明PNG，sRGB，8bit；画布外缘和非主体区域透明。；角件连接内角；梁/壁沿拼接直边起点。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66" s="37" t="str">
        <x:v>本次只画256×1024的左侧直壁，内沿向右，上下同截面接口，不含门洞；单件独立PNG，不附其他同组部件、人物或背景。</x:v>
      </x:c>
      <x:c r="F166" s="37" t="str">
        <x:f>INDEX('素材需求'!$G$8:$G$119,MATCH(B166,'素材需求'!$A$8:$A$119,0))</x:f>
        <x:v>现代科研楼模块化金属门厅框、洁净室铝合金围护框与细窄冷白内衬，参考平直拼接端和切角连接结构。只参考结构，按本版色板绘制为二维正交侧视素材，不照搬对象的原配色、品牌或文字。</x:v>
      </x:c>
      <x:c r="G166" s="37" t="str">
        <x:f>INDEX('素材需求'!$B$8:$B$119,MATCH(B166,'素材需求'!$A$8:$A$119,0))</x:f>
        <x:v>P0常态</x:v>
      </x:c>
      <x:c r="H166" s="37" t="str">
        <x:v>游戏拆件／贴图</x:v>
      </x:c>
      <x:c r="I166" s="37" t="str">
        <x:v>256×1024 px；单张RGBA透明PNG，sRGB，8bit；画布外缘和非主体区域透明。</x:v>
      </x:c>
      <x:c r="J166" s="37" t="str">
        <x:v>art_delivery/nm_v2/environment/</x:v>
      </x:c>
      <x:c r="K166" s="45" t="str">
        <x:v>待生成</x:v>
      </x:c>
      <x:c r="L166" s="37" t="str">
        <x:v>wall_left</x:v>
      </x:c>
    </x:row>
    <x:row r="167" ht="285.75" customHeight="1">
      <x:c r="A167" s="38" t="str">
        <x:f>INDEX('素材需求'!$D$8:$D$119,MATCH(B167,'素材需求'!$A$8:$A$119,0))&amp;IF(L167="","","_"&amp;L167)&amp;".png"</x:f>
        <x:v>nm_v2_env_room_shell_wall_right.png</x:v>
      </x:c>
      <x:c r="B167" s="38" t="str">
        <x:v>ENV_V2_001</x:v>
      </x:c>
      <x:c r="C167" s="38" t="str">
        <x:v>房框右侧竖壁</x:v>
      </x:c>
      <x:c r="D167" s="38" t="str">
        <x:f>"【交付文件】"&amp;A167&amp;CHAR(10)&amp;"【本张任务】"&amp;C167&amp;CHAR(10)&amp;'生成规范'!$B$8&amp;CHAR(10)&amp;"【单张范围】"&amp;E167&amp;CHAR(10)&amp;"【本组造型约束】"&amp;INDEX('素材需求'!$F$8:$F$119,MATCH(B167,'素材需求'!$A$8:$A$119,0))&amp;CHAR(10)&amp;"【参考对象】"&amp;F167&amp;CHAR(10)&amp;"【制作规格】"&amp;I167&amp;"；"&amp;INDEX('素材需求'!$M$8:$M$119,MATCH(B167,'素材需求'!$A$8:$A$119,0))&amp;CHAR(10)&amp;"【颜色】"&amp;'生成规范'!$B$10&amp;"；"&amp;'生成规范'!$B$11&amp;CHAR(10)&amp;"【输出规则】"&amp;'生成规范'!$B$12&amp;" 后处理对齐尺寸与轴点；交付用途："&amp;H167&amp;CHAR(10)&amp;"【禁止项】"&amp;'生成规范'!$B$9&amp;"；"&amp;INDEX('素材需求'!$N$8:$N$119,MATCH(B167,'素材需求'!$A$8:$A$119,0))</x:f>
        <x:v>【交付文件】nm_v2_env_room_shell_wall_right.png
【本张任务】房框右侧竖壁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【单张范围】本次只画256×1024的右侧直壁，内沿向左，上下同截面接口，不含门洞；单件独立PNG，不附其他同组部件、人物或背景。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金属蓝灰厚框配冷白窄内沿；上角小切角、下角方正，接口严格平直。框内完全留空；梁可横向重复，壁可竖向重复；不能靠横向拉伸角件凑宽度。
【参考对象】现代科研楼模块化金属门厅框、洁净室铝合金围护框与细窄冷白内衬，参考平直拼接端和切角连接结构。只参考结构，按本版色板绘制为二维正交侧视素材，不照搬对象的原配色、品牌或文字。
【制作规格】256×1024 px；单张RGBA透明PNG，sRGB，8bit；画布外缘和非主体区域透明。；角件连接内角；梁/壁沿拼接直边起点。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67" s="38" t="str">
        <x:v>本次只画256×1024的右侧直壁，内沿向左，上下同截面接口，不含门洞；单件独立PNG，不附其他同组部件、人物或背景。</x:v>
      </x:c>
      <x:c r="F167" s="38" t="str">
        <x:f>INDEX('素材需求'!$G$8:$G$119,MATCH(B167,'素材需求'!$A$8:$A$119,0))</x:f>
        <x:v>现代科研楼模块化金属门厅框、洁净室铝合金围护框与细窄冷白内衬，参考平直拼接端和切角连接结构。只参考结构，按本版色板绘制为二维正交侧视素材，不照搬对象的原配色、品牌或文字。</x:v>
      </x:c>
      <x:c r="G167" s="38" t="str">
        <x:f>INDEX('素材需求'!$B$8:$B$119,MATCH(B167,'素材需求'!$A$8:$A$119,0))</x:f>
        <x:v>P0常态</x:v>
      </x:c>
      <x:c r="H167" s="38" t="str">
        <x:v>游戏拆件／贴图</x:v>
      </x:c>
      <x:c r="I167" s="38" t="str">
        <x:v>256×1024 px；单张RGBA透明PNG，sRGB，8bit；画布外缘和非主体区域透明。</x:v>
      </x:c>
      <x:c r="J167" s="38" t="str">
        <x:v>art_delivery/nm_v2/environment/</x:v>
      </x:c>
      <x:c r="K167" s="45" t="str">
        <x:v>待生成</x:v>
      </x:c>
      <x:c r="L167" s="38" t="str">
        <x:v>wall_right</x:v>
      </x:c>
    </x:row>
    <x:row r="168" ht="285.75" customHeight="1">
      <x:c r="A168" s="37" t="str">
        <x:f>INDEX('素材需求'!$D$8:$D$119,MATCH(B168,'素材需求'!$A$8:$A$119,0))&amp;IF(L168="","","_"&amp;L168)&amp;".png"</x:f>
        <x:v>nm_v2_env_wall_cladding_upper_neutral.png</x:v>
      </x:c>
      <x:c r="B168" s="37" t="str">
        <x:v>ENV_V2_002</x:v>
      </x:c>
      <x:c r="C168" s="37" t="str">
        <x:v>中性冷白上墙</x:v>
      </x:c>
      <x:c r="D168" s="37" t="str">
        <x:f>"【交付文件】"&amp;A168&amp;CHAR(10)&amp;"【本张任务】"&amp;C168&amp;CHAR(10)&amp;'生成规范'!$B$8&amp;CHAR(10)&amp;"【单张范围】"&amp;E168&amp;CHAR(10)&amp;"【本组造型约束】"&amp;INDEX('素材需求'!$F$8:$F$119,MATCH(B168,'素材需求'!$A$8:$A$119,0))&amp;CHAR(10)&amp;"【参考对象】"&amp;F168&amp;CHAR(10)&amp;"【制作规格】"&amp;I168&amp;"；"&amp;INDEX('素材需求'!$M$8:$M$119,MATCH(B168,'素材需求'!$A$8:$A$119,0))&amp;CHAR(10)&amp;"【颜色】"&amp;'生成规范'!$B$10&amp;"；"&amp;'生成规范'!$B$11&amp;CHAR(10)&amp;"【输出规则】"&amp;'生成规范'!$B$12&amp;" 后处理对齐尺寸与轴点；交付用途："&amp;H168&amp;CHAR(10)&amp;"【禁止项】"&amp;'生成规范'!$B$9&amp;"；"&amp;INDEX('素材需求'!$N$8:$N$119,MATCH(B168,'素材需求'!$A$8:$A$119,0))</x:f>
        <x:v>【交付文件】nm_v2_env_wall_cladding_upper_neutral.png
【本张任务】中性冷白上墙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【单张范围】本次只画1024×1024的冷白干净上墙平铺纹理，细蓝灰板缝，四边连续，不画护墙板；单件独立PNG，不附其他同组部件、人物或背景。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四套配色统一板缝尺度：neutral冷白/金属灰、clinical白蓝、slate蓝灰、soft灰白微暖。上墙中部留净空，护墙板较暗；不得把五异常的高饱和主色铺满整墙。
【参考对象】现代医院与数字研究机构的洁净墙板、浅蓝护墙板及金属踢脚护板，参考统一板缝、分区层次和干净留白。只参考结构，按本版色板绘制为二维正交侧视素材，不照搬对象的原配色、品牌或文字。
【制作规格】1024×1024 px；单张RGB不透明PNG，sRGB，8bit；平铺背景，无透明留边。；左上(0,0)；上下墙交界由装配对齐。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68" s="37" t="str">
        <x:v>本次只画1024×1024的冷白干净上墙平铺纹理，细蓝灰板缝，四边连续，不画护墙板；单件独立PNG，不附其他同组部件、人物或背景。</x:v>
      </x:c>
      <x:c r="F168" s="37" t="str">
        <x:f>INDEX('素材需求'!$G$8:$G$119,MATCH(B168,'素材需求'!$A$8:$A$119,0))</x:f>
        <x:v>现代医院与数字研究机构的洁净墙板、浅蓝护墙板及金属踢脚护板，参考统一板缝、分区层次和干净留白。只参考结构，按本版色板绘制为二维正交侧视素材，不照搬对象的原配色、品牌或文字。</x:v>
      </x:c>
      <x:c r="G168" s="37" t="str">
        <x:f>INDEX('素材需求'!$B$8:$B$119,MATCH(B168,'素材需求'!$A$8:$A$119,0))</x:f>
        <x:v>P0常态</x:v>
      </x:c>
      <x:c r="H168" s="37" t="str">
        <x:v>游戏拆件／贴图</x:v>
      </x:c>
      <x:c r="I168" s="37" t="str">
        <x:v>1024×1024 px；单张RGB不透明PNG，sRGB，8bit；平铺背景，无透明留边。</x:v>
      </x:c>
      <x:c r="J168" s="37" t="str">
        <x:v>art_delivery/nm_v2/environment/</x:v>
      </x:c>
      <x:c r="K168" s="45" t="str">
        <x:v>待生成</x:v>
      </x:c>
      <x:c r="L168" s="37" t="str">
        <x:v>upper_neutral</x:v>
      </x:c>
    </x:row>
    <x:row r="169" ht="285.75" customHeight="1">
      <x:c r="A169" s="38" t="str">
        <x:f>INDEX('素材需求'!$D$8:$D$119,MATCH(B169,'素材需求'!$A$8:$A$119,0))&amp;IF(L169="","","_"&amp;L169)&amp;".png"</x:f>
        <x:v>nm_v2_env_wall_cladding_lower_neutral.png</x:v>
      </x:c>
      <x:c r="B169" s="38" t="str">
        <x:v>ENV_V2_002</x:v>
      </x:c>
      <x:c r="C169" s="38" t="str">
        <x:v>中性金属灰护墙板</x:v>
      </x:c>
      <x:c r="D169" s="38" t="str">
        <x:f>"【交付文件】"&amp;A169&amp;CHAR(10)&amp;"【本张任务】"&amp;C169&amp;CHAR(10)&amp;'生成规范'!$B$8&amp;CHAR(10)&amp;"【单张范围】"&amp;E169&amp;CHAR(10)&amp;"【本组造型约束】"&amp;INDEX('素材需求'!$F$8:$F$119,MATCH(B169,'素材需求'!$A$8:$A$119,0))&amp;CHAR(10)&amp;"【参考对象】"&amp;F169&amp;CHAR(10)&amp;"【制作规格】"&amp;I169&amp;"；"&amp;INDEX('素材需求'!$M$8:$M$119,MATCH(B169,'素材需求'!$A$8:$A$119,0))&amp;CHAR(10)&amp;"【颜色】"&amp;'生成规范'!$B$10&amp;"；"&amp;'生成规范'!$B$11&amp;CHAR(10)&amp;"【输出规则】"&amp;'生成规范'!$B$12&amp;" 后处理对齐尺寸与轴点；交付用途："&amp;H169&amp;CHAR(10)&amp;"【禁止项】"&amp;'生成规范'!$B$9&amp;"；"&amp;INDEX('素材需求'!$N$8:$N$119,MATCH(B169,'素材需求'!$A$8:$A$119,0))</x:f>
        <x:v>【交付文件】nm_v2_env_wall_cladding_lower_neutral.png
【本张任务】中性金属灰护墙板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【单张范围】本次只画1024×256的中性金属灰护墙板，左右平铺，上沿平直，不画地板；单件独立PNG，不附其他同组部件、人物或背景。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四套配色统一板缝尺度：neutral冷白/金属灰、clinical白蓝、slate蓝灰、soft灰白微暖。上墙中部留净空，护墙板较暗；不得把五异常的高饱和主色铺满整墙。
【参考对象】现代医院与数字研究机构的洁净墙板、浅蓝护墙板及金属踢脚护板，参考统一板缝、分区层次和干净留白。只参考结构，按本版色板绘制为二维正交侧视素材，不照搬对象的原配色、品牌或文字。
【制作规格】1024×256 px；单张RGB不透明PNG，sRGB，8bit；平铺背景，无透明留边。；左上(0,0)；上下墙交界由装配对齐。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69" s="38" t="str">
        <x:v>本次只画1024×256的中性金属灰护墙板，左右平铺，上沿平直，不画地板；单件独立PNG，不附其他同组部件、人物或背景。</x:v>
      </x:c>
      <x:c r="F169" s="38" t="str">
        <x:f>INDEX('素材需求'!$G$8:$G$119,MATCH(B169,'素材需求'!$A$8:$A$119,0))</x:f>
        <x:v>现代医院与数字研究机构的洁净墙板、浅蓝护墙板及金属踢脚护板，参考统一板缝、分区层次和干净留白。只参考结构，按本版色板绘制为二维正交侧视素材，不照搬对象的原配色、品牌或文字。</x:v>
      </x:c>
      <x:c r="G169" s="38" t="str">
        <x:f>INDEX('素材需求'!$B$8:$B$119,MATCH(B169,'素材需求'!$A$8:$A$119,0))</x:f>
        <x:v>P0常态</x:v>
      </x:c>
      <x:c r="H169" s="38" t="str">
        <x:v>游戏拆件／贴图</x:v>
      </x:c>
      <x:c r="I169" s="38" t="str">
        <x:v>1024×256 px；单张RGB不透明PNG，sRGB，8bit；平铺背景，无透明留边。</x:v>
      </x:c>
      <x:c r="J169" s="38" t="str">
        <x:v>art_delivery/nm_v2/environment/</x:v>
      </x:c>
      <x:c r="K169" s="45" t="str">
        <x:v>待生成</x:v>
      </x:c>
      <x:c r="L169" s="38" t="str">
        <x:v>lower_neutral</x:v>
      </x:c>
    </x:row>
    <x:row r="170" ht="285.75" customHeight="1">
      <x:c r="A170" s="37" t="str">
        <x:f>INDEX('素材需求'!$D$8:$D$119,MATCH(B170,'素材需求'!$A$8:$A$119,0))&amp;IF(L170="","","_"&amp;L170)&amp;".png"</x:f>
        <x:v>nm_v2_env_wall_cladding_upper_clinical.png</x:v>
      </x:c>
      <x:c r="B170" s="37" t="str">
        <x:v>ENV_V2_002</x:v>
      </x:c>
      <x:c r="C170" s="37" t="str">
        <x:v>医疗白蓝上墙</x:v>
      </x:c>
      <x:c r="D170" s="37" t="str">
        <x:f>"【交付文件】"&amp;A170&amp;CHAR(10)&amp;"【本张任务】"&amp;C170&amp;CHAR(10)&amp;'生成规范'!$B$8&amp;CHAR(10)&amp;"【单张范围】"&amp;E170&amp;CHAR(10)&amp;"【本组造型约束】"&amp;INDEX('素材需求'!$F$8:$F$119,MATCH(B170,'素材需求'!$A$8:$A$119,0))&amp;CHAR(10)&amp;"【参考对象】"&amp;F170&amp;CHAR(10)&amp;"【制作规格】"&amp;I170&amp;"；"&amp;INDEX('素材需求'!$M$8:$M$119,MATCH(B170,'素材需求'!$A$8:$A$119,0))&amp;CHAR(10)&amp;"【颜色】"&amp;'生成规范'!$B$10&amp;"；"&amp;'生成规范'!$B$11&amp;CHAR(10)&amp;"【输出规则】"&amp;'生成规范'!$B$12&amp;" 后处理对齐尺寸与轴点；交付用途："&amp;H170&amp;CHAR(10)&amp;"【禁止项】"&amp;'生成规范'!$B$9&amp;"；"&amp;INDEX('素材需求'!$N$8:$N$119,MATCH(B170,'素材需求'!$A$8:$A$119,0))</x:f>
        <x:v>【交付文件】nm_v2_env_wall_cladding_upper_clinical.png
【本张任务】医疗白蓝上墙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【单张范围】本次只画1024×1024的偏白浅蓝上墙平铺纹理，少量光洁接缝，不画医疗标志；单件独立PNG，不附其他同组部件、人物或背景。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四套配色统一板缝尺度：neutral冷白/金属灰、clinical白蓝、slate蓝灰、soft灰白微暖。上墙中部留净空，护墙板较暗；不得把五异常的高饱和主色铺满整墙。
【参考对象】现代医院与数字研究机构的洁净墙板、浅蓝护墙板及金属踢脚护板，参考统一板缝、分区层次和干净留白。只参考结构，按本版色板绘制为二维正交侧视素材，不照搬对象的原配色、品牌或文字。
【制作规格】1024×1024 px；单张RGB不透明PNG，sRGB，8bit；平铺背景，无透明留边。；左上(0,0)；上下墙交界由装配对齐。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70" s="37" t="str">
        <x:v>本次只画1024×1024的偏白浅蓝上墙平铺纹理，少量光洁接缝，不画医疗标志；单件独立PNG，不附其他同组部件、人物或背景。</x:v>
      </x:c>
      <x:c r="F170" s="37" t="str">
        <x:f>INDEX('素材需求'!$G$8:$G$119,MATCH(B170,'素材需求'!$A$8:$A$119,0))</x:f>
        <x:v>现代医院与数字研究机构的洁净墙板、浅蓝护墙板及金属踢脚护板，参考统一板缝、分区层次和干净留白。只参考结构，按本版色板绘制为二维正交侧视素材，不照搬对象的原配色、品牌或文字。</x:v>
      </x:c>
      <x:c r="G170" s="37" t="str">
        <x:f>INDEX('素材需求'!$B$8:$B$119,MATCH(B170,'素材需求'!$A$8:$A$119,0))</x:f>
        <x:v>P0常态</x:v>
      </x:c>
      <x:c r="H170" s="37" t="str">
        <x:v>游戏拆件／贴图</x:v>
      </x:c>
      <x:c r="I170" s="37" t="str">
        <x:v>1024×1024 px；单张RGB不透明PNG，sRGB，8bit；平铺背景，无透明留边。</x:v>
      </x:c>
      <x:c r="J170" s="37" t="str">
        <x:v>art_delivery/nm_v2/environment/</x:v>
      </x:c>
      <x:c r="K170" s="45" t="str">
        <x:v>待生成</x:v>
      </x:c>
      <x:c r="L170" s="37" t="str">
        <x:v>upper_clinical</x:v>
      </x:c>
    </x:row>
    <x:row r="171" ht="285.75" customHeight="1">
      <x:c r="A171" s="38" t="str">
        <x:f>INDEX('素材需求'!$D$8:$D$119,MATCH(B171,'素材需求'!$A$8:$A$119,0))&amp;IF(L171="","","_"&amp;L171)&amp;".png"</x:f>
        <x:v>nm_v2_env_wall_cladding_lower_clinical.png</x:v>
      </x:c>
      <x:c r="B171" s="38" t="str">
        <x:v>ENV_V2_002</x:v>
      </x:c>
      <x:c r="C171" s="38" t="str">
        <x:v>医疗淡蓝护墙板</x:v>
      </x:c>
      <x:c r="D171" s="38" t="str">
        <x:f>"【交付文件】"&amp;A171&amp;CHAR(10)&amp;"【本张任务】"&amp;C171&amp;CHAR(10)&amp;'生成规范'!$B$8&amp;CHAR(10)&amp;"【单张范围】"&amp;E171&amp;CHAR(10)&amp;"【本组造型约束】"&amp;INDEX('素材需求'!$F$8:$F$119,MATCH(B171,'素材需求'!$A$8:$A$119,0))&amp;CHAR(10)&amp;"【参考对象】"&amp;F171&amp;CHAR(10)&amp;"【制作规格】"&amp;I171&amp;"；"&amp;INDEX('素材需求'!$M$8:$M$119,MATCH(B171,'素材需求'!$A$8:$A$119,0))&amp;CHAR(10)&amp;"【颜色】"&amp;'生成规范'!$B$10&amp;"；"&amp;'生成规范'!$B$11&amp;CHAR(10)&amp;"【输出规则】"&amp;'生成规范'!$B$12&amp;" 后处理对齐尺寸与轴点；交付用途："&amp;H171&amp;CHAR(10)&amp;"【禁止项】"&amp;'生成规范'!$B$9&amp;"；"&amp;INDEX('素材需求'!$N$8:$N$119,MATCH(B171,'素材需求'!$A$8:$A$119,0))</x:f>
        <x:v>【交付文件】nm_v2_env_wall_cladding_lower_clinical.png
【本张任务】医疗淡蓝护墙板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【单张范围】本次只画1024×256的淡蓝金属护墙板，左右平铺，不画床和橱柜；单件独立PNG，不附其他同组部件、人物或背景。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四套配色统一板缝尺度：neutral冷白/金属灰、clinical白蓝、slate蓝灰、soft灰白微暖。上墙中部留净空，护墙板较暗；不得把五异常的高饱和主色铺满整墙。
【参考对象】现代医院与数字研究机构的洁净墙板、浅蓝护墙板及金属踢脚护板，参考统一板缝、分区层次和干净留白。只参考结构，按本版色板绘制为二维正交侧视素材，不照搬对象的原配色、品牌或文字。
【制作规格】1024×256 px；单张RGB不透明PNG，sRGB，8bit；平铺背景，无透明留边。；左上(0,0)；上下墙交界由装配对齐。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71" s="38" t="str">
        <x:v>本次只画1024×256的淡蓝金属护墙板，左右平铺，不画床和橱柜；单件独立PNG，不附其他同组部件、人物或背景。</x:v>
      </x:c>
      <x:c r="F171" s="38" t="str">
        <x:f>INDEX('素材需求'!$G$8:$G$119,MATCH(B171,'素材需求'!$A$8:$A$119,0))</x:f>
        <x:v>现代医院与数字研究机构的洁净墙板、浅蓝护墙板及金属踢脚护板，参考统一板缝、分区层次和干净留白。只参考结构，按本版色板绘制为二维正交侧视素材，不照搬对象的原配色、品牌或文字。</x:v>
      </x:c>
      <x:c r="G171" s="38" t="str">
        <x:f>INDEX('素材需求'!$B$8:$B$119,MATCH(B171,'素材需求'!$A$8:$A$119,0))</x:f>
        <x:v>P0常态</x:v>
      </x:c>
      <x:c r="H171" s="38" t="str">
        <x:v>游戏拆件／贴图</x:v>
      </x:c>
      <x:c r="I171" s="38" t="str">
        <x:v>1024×256 px；单张RGB不透明PNG，sRGB，8bit；平铺背景，无透明留边。</x:v>
      </x:c>
      <x:c r="J171" s="38" t="str">
        <x:v>art_delivery/nm_v2/environment/</x:v>
      </x:c>
      <x:c r="K171" s="45" t="str">
        <x:v>待生成</x:v>
      </x:c>
      <x:c r="L171" s="38" t="str">
        <x:v>lower_clinical</x:v>
      </x:c>
    </x:row>
    <x:row r="172" ht="285.75" customHeight="1">
      <x:c r="A172" s="37" t="str">
        <x:f>INDEX('素材需求'!$D$8:$D$119,MATCH(B172,'素材需求'!$A$8:$A$119,0))&amp;IF(L172="","","_"&amp;L172)&amp;".png"</x:f>
        <x:v>nm_v2_env_wall_cladding_upper_slate.png</x:v>
      </x:c>
      <x:c r="B172" s="37" t="str">
        <x:v>ENV_V2_002</x:v>
      </x:c>
      <x:c r="C172" s="37" t="str">
        <x:v>机构蓝灰上墙</x:v>
      </x:c>
      <x:c r="D172" s="37" t="str">
        <x:f>"【交付文件】"&amp;A172&amp;CHAR(10)&amp;"【本张任务】"&amp;C172&amp;CHAR(10)&amp;'生成规范'!$B$8&amp;CHAR(10)&amp;"【单张范围】"&amp;E172&amp;CHAR(10)&amp;"【本组造型约束】"&amp;INDEX('素材需求'!$F$8:$F$119,MATCH(B172,'素材需求'!$A$8:$A$119,0))&amp;CHAR(10)&amp;"【参考对象】"&amp;F172&amp;CHAR(10)&amp;"【制作规格】"&amp;I172&amp;"；"&amp;INDEX('素材需求'!$M$8:$M$119,MATCH(B172,'素材需求'!$A$8:$A$119,0))&amp;CHAR(10)&amp;"【颜色】"&amp;'生成规范'!$B$10&amp;"；"&amp;'生成规范'!$B$11&amp;CHAR(10)&amp;"【输出规则】"&amp;'生成规范'!$B$12&amp;" 后处理对齐尺寸与轴点；交付用途："&amp;H172&amp;CHAR(10)&amp;"【禁止项】"&amp;'生成规范'!$B$9&amp;"；"&amp;INDEX('素材需求'!$N$8:$N$119,MATCH(B172,'素材需求'!$A$8:$A$119,0))</x:f>
        <x:v>【交付文件】nm_v2_env_wall_cladding_upper_slate.png
【本张任务】机构蓝灰上墙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【单张范围】本次只画1024×1024的明度适中的蓝灰上墙平铺纹理，中央低对比，不画发光线；单件独立PNG，不附其他同组部件、人物或背景。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四套配色统一板缝尺度：neutral冷白/金属灰、clinical白蓝、slate蓝灰、soft灰白微暖。上墙中部留净空，护墙板较暗；不得把五异常的高饱和主色铺满整墙。
【参考对象】现代医院与数字研究机构的洁净墙板、浅蓝护墙板及金属踢脚护板，参考统一板缝、分区层次和干净留白。只参考结构，按本版色板绘制为二维正交侧视素材，不照搬对象的原配色、品牌或文字。
【制作规格】1024×1024 px；单张RGB不透明PNG，sRGB，8bit；平铺背景，无透明留边。；左上(0,0)；上下墙交界由装配对齐。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72" s="37" t="str">
        <x:v>本次只画1024×1024的明度适中的蓝灰上墙平铺纹理，中央低对比，不画发光线；单件独立PNG，不附其他同组部件、人物或背景。</x:v>
      </x:c>
      <x:c r="F172" s="37" t="str">
        <x:f>INDEX('素材需求'!$G$8:$G$119,MATCH(B172,'素材需求'!$A$8:$A$119,0))</x:f>
        <x:v>现代医院与数字研究机构的洁净墙板、浅蓝护墙板及金属踢脚护板，参考统一板缝、分区层次和干净留白。只参考结构，按本版色板绘制为二维正交侧视素材，不照搬对象的原配色、品牌或文字。</x:v>
      </x:c>
      <x:c r="G172" s="37" t="str">
        <x:f>INDEX('素材需求'!$B$8:$B$119,MATCH(B172,'素材需求'!$A$8:$A$119,0))</x:f>
        <x:v>P0常态</x:v>
      </x:c>
      <x:c r="H172" s="37" t="str">
        <x:v>游戏拆件／贴图</x:v>
      </x:c>
      <x:c r="I172" s="37" t="str">
        <x:v>1024×1024 px；单张RGB不透明PNG，sRGB，8bit；平铺背景，无透明留边。</x:v>
      </x:c>
      <x:c r="J172" s="37" t="str">
        <x:v>art_delivery/nm_v2/environment/</x:v>
      </x:c>
      <x:c r="K172" s="45" t="str">
        <x:v>待生成</x:v>
      </x:c>
      <x:c r="L172" s="37" t="str">
        <x:v>upper_slate</x:v>
      </x:c>
    </x:row>
    <x:row r="173" ht="285.75" customHeight="1">
      <x:c r="A173" s="38" t="str">
        <x:f>INDEX('素材需求'!$D$8:$D$119,MATCH(B173,'素材需求'!$A$8:$A$119,0))&amp;IF(L173="","","_"&amp;L173)&amp;".png"</x:f>
        <x:v>nm_v2_env_wall_cladding_lower_slate.png</x:v>
      </x:c>
      <x:c r="B173" s="38" t="str">
        <x:v>ENV_V2_002</x:v>
      </x:c>
      <x:c r="C173" s="38" t="str">
        <x:v>机构深蓝灰护墙板</x:v>
      </x:c>
      <x:c r="D173" s="38" t="str">
        <x:f>"【交付文件】"&amp;A173&amp;CHAR(10)&amp;"【本张任务】"&amp;C173&amp;CHAR(10)&amp;'生成规范'!$B$8&amp;CHAR(10)&amp;"【单张范围】"&amp;E173&amp;CHAR(10)&amp;"【本组造型约束】"&amp;INDEX('素材需求'!$F$8:$F$119,MATCH(B173,'素材需求'!$A$8:$A$119,0))&amp;CHAR(10)&amp;"【参考对象】"&amp;F173&amp;CHAR(10)&amp;"【制作规格】"&amp;I173&amp;"；"&amp;INDEX('素材需求'!$M$8:$M$119,MATCH(B173,'素材需求'!$A$8:$A$119,0))&amp;CHAR(10)&amp;"【颜色】"&amp;'生成规范'!$B$10&amp;"；"&amp;'生成规范'!$B$11&amp;CHAR(10)&amp;"【输出规则】"&amp;'生成规范'!$B$12&amp;" 后处理对齐尺寸与轴点；交付用途："&amp;H173&amp;CHAR(10)&amp;"【禁止项】"&amp;'生成规范'!$B$9&amp;"；"&amp;INDEX('素材需求'!$N$8:$N$119,MATCH(B173,'素材需求'!$A$8:$A$119,0))</x:f>
        <x:v>【交付文件】nm_v2_env_wall_cladding_lower_slate.png
【本张任务】机构深蓝灰护墙板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【单张范围】本次只画1024×256的深蓝灰护墙板，左右无缝拼接，不画装饰性亮条；单件独立PNG，不附其他同组部件、人物或背景。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四套配色统一板缝尺度：neutral冷白/金属灰、clinical白蓝、slate蓝灰、soft灰白微暖。上墙中部留净空，护墙板较暗；不得把五异常的高饱和主色铺满整墙。
【参考对象】现代医院与数字研究机构的洁净墙板、浅蓝护墙板及金属踢脚护板，参考统一板缝、分区层次和干净留白。只参考结构，按本版色板绘制为二维正交侧视素材，不照搬对象的原配色、品牌或文字。
【制作规格】1024×256 px；单张RGB不透明PNG，sRGB，8bit；平铺背景，无透明留边。；左上(0,0)；上下墙交界由装配对齐。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73" s="38" t="str">
        <x:v>本次只画1024×256的深蓝灰护墙板，左右无缝拼接，不画装饰性亮条；单件独立PNG，不附其他同组部件、人物或背景。</x:v>
      </x:c>
      <x:c r="F173" s="38" t="str">
        <x:f>INDEX('素材需求'!$G$8:$G$119,MATCH(B173,'素材需求'!$A$8:$A$119,0))</x:f>
        <x:v>现代医院与数字研究机构的洁净墙板、浅蓝护墙板及金属踢脚护板，参考统一板缝、分区层次和干净留白。只参考结构，按本版色板绘制为二维正交侧视素材，不照搬对象的原配色、品牌或文字。</x:v>
      </x:c>
      <x:c r="G173" s="38" t="str">
        <x:f>INDEX('素材需求'!$B$8:$B$119,MATCH(B173,'素材需求'!$A$8:$A$119,0))</x:f>
        <x:v>P0常态</x:v>
      </x:c>
      <x:c r="H173" s="38" t="str">
        <x:v>游戏拆件／贴图</x:v>
      </x:c>
      <x:c r="I173" s="38" t="str">
        <x:v>1024×256 px；单张RGB不透明PNG，sRGB，8bit；平铺背景，无透明留边。</x:v>
      </x:c>
      <x:c r="J173" s="38" t="str">
        <x:v>art_delivery/nm_v2/environment/</x:v>
      </x:c>
      <x:c r="K173" s="45" t="str">
        <x:v>待生成</x:v>
      </x:c>
      <x:c r="L173" s="38" t="str">
        <x:v>lower_slate</x:v>
      </x:c>
    </x:row>
    <x:row r="174" ht="285.75" customHeight="1">
      <x:c r="A174" s="37" t="str">
        <x:f>INDEX('素材需求'!$D$8:$D$119,MATCH(B174,'素材需求'!$A$8:$A$119,0))&amp;IF(L174="","","_"&amp;L174)&amp;".png"</x:f>
        <x:v>nm_v2_env_wall_cladding_upper_soft.png</x:v>
      </x:c>
      <x:c r="B174" s="37" t="str">
        <x:v>ENV_V2_002</x:v>
      </x:c>
      <x:c r="C174" s="37" t="str">
        <x:v>柔和灰白上墙</x:v>
      </x:c>
      <x:c r="D174" s="37" t="str">
        <x:f>"【交付文件】"&amp;A174&amp;CHAR(10)&amp;"【本张任务】"&amp;C174&amp;CHAR(10)&amp;'生成规范'!$B$8&amp;CHAR(10)&amp;"【单张范围】"&amp;E174&amp;CHAR(10)&amp;"【本组造型约束】"&amp;INDEX('素材需求'!$F$8:$F$119,MATCH(B174,'素材需求'!$A$8:$A$119,0))&amp;CHAR(10)&amp;"【参考对象】"&amp;F174&amp;CHAR(10)&amp;"【制作规格】"&amp;I174&amp;"；"&amp;INDEX('素材需求'!$M$8:$M$119,MATCH(B174,'素材需求'!$A$8:$A$119,0))&amp;CHAR(10)&amp;"【颜色】"&amp;'生成规范'!$B$10&amp;"；"&amp;'生成规范'!$B$11&amp;CHAR(10)&amp;"【输出规则】"&amp;'生成规范'!$B$12&amp;" 后处理对齐尺寸与轴点；交付用途："&amp;H174&amp;CHAR(10)&amp;"【禁止项】"&amp;'生成规范'!$B$9&amp;"；"&amp;INDEX('素材需求'!$N$8:$N$119,MATCH(B174,'素材需求'!$A$8:$A$119,0))</x:f>
        <x:v>【交付文件】nm_v2_env_wall_cladding_upper_soft.png
【本张任务】柔和灰白上墙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【单张范围】本次只画1024×1024的略暖灰白上墙平铺纹理，保持现代板面而非纸张或旧墙；单件独立PNG，不附其他同组部件、人物或背景。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四套配色统一板缝尺度：neutral冷白/金属灰、clinical白蓝、slate蓝灰、soft灰白微暖。上墙中部留净空，护墙板较暗；不得把五异常的高饱和主色铺满整墙。
【参考对象】现代医院与数字研究机构的洁净墙板、浅蓝护墙板及金属踢脚护板，参考统一板缝、分区层次和干净留白。只参考结构，按本版色板绘制为二维正交侧视素材，不照搬对象的原配色、品牌或文字。
【制作规格】1024×1024 px；单张RGB不透明PNG，sRGB，8bit；平铺背景，无透明留边。；左上(0,0)；上下墙交界由装配对齐。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74" s="37" t="str">
        <x:v>本次只画1024×1024的略暖灰白上墙平铺纹理，保持现代板面而非纸张或旧墙；单件独立PNG，不附其他同组部件、人物或背景。</x:v>
      </x:c>
      <x:c r="F174" s="37" t="str">
        <x:f>INDEX('素材需求'!$G$8:$G$119,MATCH(B174,'素材需求'!$A$8:$A$119,0))</x:f>
        <x:v>现代医院与数字研究机构的洁净墙板、浅蓝护墙板及金属踢脚护板，参考统一板缝、分区层次和干净留白。只参考结构，按本版色板绘制为二维正交侧视素材，不照搬对象的原配色、品牌或文字。</x:v>
      </x:c>
      <x:c r="G174" s="37" t="str">
        <x:f>INDEX('素材需求'!$B$8:$B$119,MATCH(B174,'素材需求'!$A$8:$A$119,0))</x:f>
        <x:v>P0常态</x:v>
      </x:c>
      <x:c r="H174" s="37" t="str">
        <x:v>游戏拆件／贴图</x:v>
      </x:c>
      <x:c r="I174" s="37" t="str">
        <x:v>1024×1024 px；单张RGB不透明PNG，sRGB，8bit；平铺背景，无透明留边。</x:v>
      </x:c>
      <x:c r="J174" s="37" t="str">
        <x:v>art_delivery/nm_v2/environment/</x:v>
      </x:c>
      <x:c r="K174" s="45" t="str">
        <x:v>待生成</x:v>
      </x:c>
      <x:c r="L174" s="37" t="str">
        <x:v>upper_soft</x:v>
      </x:c>
    </x:row>
    <x:row r="175" ht="285.75" customHeight="1">
      <x:c r="A175" s="38" t="str">
        <x:f>INDEX('素材需求'!$D$8:$D$119,MATCH(B175,'素材需求'!$A$8:$A$119,0))&amp;IF(L175="","","_"&amp;L175)&amp;".png"</x:f>
        <x:v>nm_v2_env_wall_cladding_lower_soft.png</x:v>
      </x:c>
      <x:c r="B175" s="38" t="str">
        <x:v>ENV_V2_002</x:v>
      </x:c>
      <x:c r="C175" s="38" t="str">
        <x:v>柔和灰蓝护墙板</x:v>
      </x:c>
      <x:c r="D175" s="38" t="str">
        <x:f>"【交付文件】"&amp;A175&amp;CHAR(10)&amp;"【本张任务】"&amp;C175&amp;CHAR(10)&amp;'生成规范'!$B$8&amp;CHAR(10)&amp;"【单张范围】"&amp;E175&amp;CHAR(10)&amp;"【本组造型约束】"&amp;INDEX('素材需求'!$F$8:$F$119,MATCH(B175,'素材需求'!$A$8:$A$119,0))&amp;CHAR(10)&amp;"【参考对象】"&amp;F175&amp;CHAR(10)&amp;"【制作规格】"&amp;I175&amp;"；"&amp;INDEX('素材需求'!$M$8:$M$119,MATCH(B175,'素材需求'!$A$8:$A$119,0))&amp;CHAR(10)&amp;"【颜色】"&amp;'生成规范'!$B$10&amp;"；"&amp;'生成规范'!$B$11&amp;CHAR(10)&amp;"【输出规则】"&amp;'生成规范'!$B$12&amp;" 后处理对齐尺寸与轴点；交付用途："&amp;H175&amp;CHAR(10)&amp;"【禁止项】"&amp;'生成规范'!$B$9&amp;"；"&amp;INDEX('素材需求'!$N$8:$N$119,MATCH(B175,'素材需求'!$A$8:$A$119,0))</x:f>
        <x:v>【交付文件】nm_v2_env_wall_cladding_lower_soft.png
【本张任务】柔和灰蓝护墙板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【单张范围】本次只画1024×256的柔和灰蓝护墙板，与上墙同板缝尺度，不画粉紫霓虹；单件独立PNG，不附其他同组部件、人物或背景。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四套配色统一板缝尺度：neutral冷白/金属灰、clinical白蓝、slate蓝灰、soft灰白微暖。上墙中部留净空，护墙板较暗；不得把五异常的高饱和主色铺满整墙。
【参考对象】现代医院与数字研究机构的洁净墙板、浅蓝护墙板及金属踢脚护板，参考统一板缝、分区层次和干净留白。只参考结构，按本版色板绘制为二维正交侧视素材，不照搬对象的原配色、品牌或文字。
【制作规格】1024×256 px；单张RGB不透明PNG，sRGB，8bit；平铺背景，无透明留边。；左上(0,0)；上下墙交界由装配对齐。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75" s="38" t="str">
        <x:v>本次只画1024×256的柔和灰蓝护墙板，与上墙同板缝尺度，不画粉紫霓虹；单件独立PNG，不附其他同组部件、人物或背景。</x:v>
      </x:c>
      <x:c r="F175" s="38" t="str">
        <x:f>INDEX('素材需求'!$G$8:$G$119,MATCH(B175,'素材需求'!$A$8:$A$119,0))</x:f>
        <x:v>现代医院与数字研究机构的洁净墙板、浅蓝护墙板及金属踢脚护板，参考统一板缝、分区层次和干净留白。只参考结构，按本版色板绘制为二维正交侧视素材，不照搬对象的原配色、品牌或文字。</x:v>
      </x:c>
      <x:c r="G175" s="38" t="str">
        <x:f>INDEX('素材需求'!$B$8:$B$119,MATCH(B175,'素材需求'!$A$8:$A$119,0))</x:f>
        <x:v>P0常态</x:v>
      </x:c>
      <x:c r="H175" s="38" t="str">
        <x:v>游戏拆件／贴图</x:v>
      </x:c>
      <x:c r="I175" s="38" t="str">
        <x:v>1024×256 px；单张RGB不透明PNG，sRGB，8bit；平铺背景，无透明留边。</x:v>
      </x:c>
      <x:c r="J175" s="38" t="str">
        <x:v>art_delivery/nm_v2/environment/</x:v>
      </x:c>
      <x:c r="K175" s="45" t="str">
        <x:v>待生成</x:v>
      </x:c>
      <x:c r="L175" s="38" t="str">
        <x:v>lower_soft</x:v>
      </x:c>
    </x:row>
    <x:row r="176" ht="271.5" customHeight="1">
      <x:c r="A176" s="37" t="str">
        <x:f>INDEX('素材需求'!$D$8:$D$119,MATCH(B176,'素材需求'!$A$8:$A$119,0))&amp;IF(L176="","","_"&amp;L176)&amp;".png"</x:f>
        <x:v>nm_v2_env_floor_segment_middle.png</x:v>
      </x:c>
      <x:c r="B176" s="37" t="str">
        <x:v>ENV_V2_003</x:v>
      </x:c>
      <x:c r="C176" s="37" t="str">
        <x:v>地板水平中段</x:v>
      </x:c>
      <x:c r="D176" s="37" t="str">
        <x:f>"【交付文件】"&amp;A176&amp;CHAR(10)&amp;"【本张任务】"&amp;C176&amp;CHAR(10)&amp;'生成规范'!$B$8&amp;CHAR(10)&amp;"【单张范围】"&amp;E176&amp;CHAR(10)&amp;"【本组造型约束】"&amp;INDEX('素材需求'!$F$8:$F$119,MATCH(B176,'素材需求'!$A$8:$A$119,0))&amp;CHAR(10)&amp;"【参考对象】"&amp;F176&amp;CHAR(10)&amp;"【制作规格】"&amp;I176&amp;"；"&amp;INDEX('素材需求'!$M$8:$M$119,MATCH(B176,'素材需求'!$A$8:$A$119,0))&amp;CHAR(10)&amp;"【颜色】"&amp;'生成规范'!$B$10&amp;"；"&amp;'生成规范'!$B$11&amp;CHAR(10)&amp;"【输出规则】"&amp;'生成规范'!$B$12&amp;" 后处理对齐尺寸与轴点；交付用途："&amp;H176&amp;CHAR(10)&amp;"【禁止项】"&amp;'生成规范'!$B$9&amp;"；"&amp;INDEX('素材需求'!$N$8:$N$119,MATCH(B176,'素材需求'!$A$8:$A$119,0))</x:f>
        <x:v>【交付文件】nm_v2_env_floor_segment_middle.png
【本张任务】地板水平中段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【单张范围】本次只画1024×256的连续地板中段，顶端平直可落脚，下沿有简洁承重厚度；单件独立PNG，不附其他同组部件、人物或背景。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金属灰平直踏面、深蓝灰承重下沿和稀疏防滑缝；实体脚底基准最清楚。中段水平可平铺，端头同截面；不把下沿画成另一条可走路面。
【参考对象】科研楼连廊的防滑金属地板、平直承重踏面与收边端头，参考脚底支撑线和清楚的板厚。只参考结构，按本版色板绘制为二维正交侧视素材，不照搬对象的原配色、品牌或文字。
【制作规格】1024×256 px；单张RGBA透明PNG，sRGB，8bit；画布外缘和非主体区域透明。；上表面承重线左端；交付标注该线的源图Y。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76" s="37" t="str">
        <x:v>本次只画1024×256的连续地板中段，顶端平直可落脚，下沿有简洁承重厚度；单件独立PNG，不附其他同组部件、人物或背景。</x:v>
      </x:c>
      <x:c r="F176" s="37" t="str">
        <x:f>INDEX('素材需求'!$G$8:$G$119,MATCH(B176,'素材需求'!$A$8:$A$119,0))</x:f>
        <x:v>科研楼连廊的防滑金属地板、平直承重踏面与收边端头，参考脚底支撑线和清楚的板厚。只参考结构，按本版色板绘制为二维正交侧视素材，不照搬对象的原配色、品牌或文字。</x:v>
      </x:c>
      <x:c r="G176" s="37" t="str">
        <x:f>INDEX('素材需求'!$B$8:$B$119,MATCH(B176,'素材需求'!$A$8:$A$119,0))</x:f>
        <x:v>P0常态</x:v>
      </x:c>
      <x:c r="H176" s="37" t="str">
        <x:v>游戏拆件／贴图</x:v>
      </x:c>
      <x:c r="I176" s="37" t="str">
        <x:v>1024×256 px；单张RGBA透明PNG，sRGB，8bit；画布外缘和非主体区域透明。</x:v>
      </x:c>
      <x:c r="J176" s="37" t="str">
        <x:v>art_delivery/nm_v2/environment/</x:v>
      </x:c>
      <x:c r="K176" s="45" t="str">
        <x:v>待生成</x:v>
      </x:c>
      <x:c r="L176" s="37" t="str">
        <x:v>middle</x:v>
      </x:c>
    </x:row>
    <x:row r="177" ht="271.5" customHeight="1">
      <x:c r="A177" s="38" t="str">
        <x:f>INDEX('素材需求'!$D$8:$D$119,MATCH(B177,'素材需求'!$A$8:$A$119,0))&amp;IF(L177="","","_"&amp;L177)&amp;".png"</x:f>
        <x:v>nm_v2_env_floor_segment_cap_left.png</x:v>
      </x:c>
      <x:c r="B177" s="38" t="str">
        <x:v>ENV_V2_003</x:v>
      </x:c>
      <x:c r="C177" s="38" t="str">
        <x:v>地板左端收口</x:v>
      </x:c>
      <x:c r="D177" s="38" t="str">
        <x:f>"【交付文件】"&amp;A177&amp;CHAR(10)&amp;"【本张任务】"&amp;C177&amp;CHAR(10)&amp;'生成规范'!$B$8&amp;CHAR(10)&amp;"【单张范围】"&amp;E177&amp;CHAR(10)&amp;"【本组造型约束】"&amp;INDEX('素材需求'!$F$8:$F$119,MATCH(B177,'素材需求'!$A$8:$A$119,0))&amp;CHAR(10)&amp;"【参考对象】"&amp;F177&amp;CHAR(10)&amp;"【制作规格】"&amp;I177&amp;"；"&amp;INDEX('素材需求'!$M$8:$M$119,MATCH(B177,'素材需求'!$A$8:$A$119,0))&amp;CHAR(10)&amp;"【颜色】"&amp;'生成规范'!$B$10&amp;"；"&amp;'生成规范'!$B$11&amp;CHAR(10)&amp;"【输出规则】"&amp;'生成规范'!$B$12&amp;" 后处理对齐尺寸与轴点；交付用途："&amp;H177&amp;CHAR(10)&amp;"【禁止项】"&amp;'生成规范'!$B$9&amp;"；"&amp;INDEX('素材需求'!$N$8:$N$119,MATCH(B177,'素材需求'!$A$8:$A$119,0))</x:f>
        <x:v>【交付文件】nm_v2_env_floor_segment_cap_left.png
【本张任务】地板左端收口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【单张范围】本次只画256×256的地板左端头，左侧封口、右侧连接中段，承重线同高；单件独立PNG，不附其他同组部件、人物或背景。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金属灰平直踏面、深蓝灰承重下沿和稀疏防滑缝；实体脚底基准最清楚。中段水平可平铺，端头同截面；不把下沿画成另一条可走路面。
【参考对象】科研楼连廊的防滑金属地板、平直承重踏面与收边端头，参考脚底支撑线和清楚的板厚。只参考结构，按本版色板绘制为二维正交侧视素材，不照搬对象的原配色、品牌或文字。
【制作规格】256×256 px；单张RGBA透明PNG，sRGB，8bit；画布外缘和非主体区域透明。；上表面承重线左端；交付标注该线的源图Y。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77" s="38" t="str">
        <x:v>本次只画256×256的地板左端头，左侧封口、右侧连接中段，承重线同高；单件独立PNG，不附其他同组部件、人物或背景。</x:v>
      </x:c>
      <x:c r="F177" s="38" t="str">
        <x:f>INDEX('素材需求'!$G$8:$G$119,MATCH(B177,'素材需求'!$A$8:$A$119,0))</x:f>
        <x:v>科研楼连廊的防滑金属地板、平直承重踏面与收边端头，参考脚底支撑线和清楚的板厚。只参考结构，按本版色板绘制为二维正交侧视素材，不照搬对象的原配色、品牌或文字。</x:v>
      </x:c>
      <x:c r="G177" s="38" t="str">
        <x:f>INDEX('素材需求'!$B$8:$B$119,MATCH(B177,'素材需求'!$A$8:$A$119,0))</x:f>
        <x:v>P0常态</x:v>
      </x:c>
      <x:c r="H177" s="38" t="str">
        <x:v>游戏拆件／贴图</x:v>
      </x:c>
      <x:c r="I177" s="38" t="str">
        <x:v>256×256 px；单张RGBA透明PNG，sRGB，8bit；画布外缘和非主体区域透明。</x:v>
      </x:c>
      <x:c r="J177" s="38" t="str">
        <x:v>art_delivery/nm_v2/environment/</x:v>
      </x:c>
      <x:c r="K177" s="45" t="str">
        <x:v>待生成</x:v>
      </x:c>
      <x:c r="L177" s="38" t="str">
        <x:v>cap_left</x:v>
      </x:c>
    </x:row>
    <x:row r="178" ht="271.5" customHeight="1">
      <x:c r="A178" s="37" t="str">
        <x:f>INDEX('素材需求'!$D$8:$D$119,MATCH(B178,'素材需求'!$A$8:$A$119,0))&amp;IF(L178="","","_"&amp;L178)&amp;".png"</x:f>
        <x:v>nm_v2_env_floor_segment_cap_right.png</x:v>
      </x:c>
      <x:c r="B178" s="37" t="str">
        <x:v>ENV_V2_003</x:v>
      </x:c>
      <x:c r="C178" s="37" t="str">
        <x:v>地板右端收口</x:v>
      </x:c>
      <x:c r="D178" s="37" t="str">
        <x:f>"【交付文件】"&amp;A178&amp;CHAR(10)&amp;"【本张任务】"&amp;C178&amp;CHAR(10)&amp;'生成规范'!$B$8&amp;CHAR(10)&amp;"【单张范围】"&amp;E178&amp;CHAR(10)&amp;"【本组造型约束】"&amp;INDEX('素材需求'!$F$8:$F$119,MATCH(B178,'素材需求'!$A$8:$A$119,0))&amp;CHAR(10)&amp;"【参考对象】"&amp;F178&amp;CHAR(10)&amp;"【制作规格】"&amp;I178&amp;"；"&amp;INDEX('素材需求'!$M$8:$M$119,MATCH(B178,'素材需求'!$A$8:$A$119,0))&amp;CHAR(10)&amp;"【颜色】"&amp;'生成规范'!$B$10&amp;"；"&amp;'生成规范'!$B$11&amp;CHAR(10)&amp;"【输出规则】"&amp;'生成规范'!$B$12&amp;" 后处理对齐尺寸与轴点；交付用途："&amp;H178&amp;CHAR(10)&amp;"【禁止项】"&amp;'生成规范'!$B$9&amp;"；"&amp;INDEX('素材需求'!$N$8:$N$119,MATCH(B178,'素材需求'!$A$8:$A$119,0))</x:f>
        <x:v>【交付文件】nm_v2_env_floor_segment_cap_right.png
【本张任务】地板右端收口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【单张范围】本次只画256×256的地板右端头，右侧封口、左侧连接中段，承重线同高；单件独立PNG，不附其他同组部件、人物或背景。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金属灰平直踏面、深蓝灰承重下沿和稀疏防滑缝；实体脚底基准最清楚。中段水平可平铺，端头同截面；不把下沿画成另一条可走路面。
【参考对象】科研楼连廊的防滑金属地板、平直承重踏面与收边端头，参考脚底支撑线和清楚的板厚。只参考结构，按本版色板绘制为二维正交侧视素材，不照搬对象的原配色、品牌或文字。
【制作规格】256×256 px；单张RGBA透明PNG，sRGB，8bit；画布外缘和非主体区域透明。；上表面承重线左端；交付标注该线的源图Y。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78" s="37" t="str">
        <x:v>本次只画256×256的地板右端头，右侧封口、左侧连接中段，承重线同高；单件独立PNG，不附其他同组部件、人物或背景。</x:v>
      </x:c>
      <x:c r="F178" s="37" t="str">
        <x:f>INDEX('素材需求'!$G$8:$G$119,MATCH(B178,'素材需求'!$A$8:$A$119,0))</x:f>
        <x:v>科研楼连廊的防滑金属地板、平直承重踏面与收边端头，参考脚底支撑线和清楚的板厚。只参考结构，按本版色板绘制为二维正交侧视素材，不照搬对象的原配色、品牌或文字。</x:v>
      </x:c>
      <x:c r="G178" s="37" t="str">
        <x:f>INDEX('素材需求'!$B$8:$B$119,MATCH(B178,'素材需求'!$A$8:$A$119,0))</x:f>
        <x:v>P0常态</x:v>
      </x:c>
      <x:c r="H178" s="37" t="str">
        <x:v>游戏拆件／贴图</x:v>
      </x:c>
      <x:c r="I178" s="37" t="str">
        <x:v>256×256 px；单张RGBA透明PNG，sRGB，8bit；画布外缘和非主体区域透明。</x:v>
      </x:c>
      <x:c r="J178" s="37" t="str">
        <x:v>art_delivery/nm_v2/environment/</x:v>
      </x:c>
      <x:c r="K178" s="45" t="str">
        <x:v>待生成</x:v>
      </x:c>
      <x:c r="L178" s="37" t="str">
        <x:v>cap_right</x:v>
      </x:c>
    </x:row>
    <x:row r="179" ht="271.5" customHeight="1">
      <x:c r="A179" s="38" t="str">
        <x:f>INDEX('素材需求'!$D$8:$D$119,MATCH(B179,'素材需求'!$A$8:$A$119,0))&amp;IF(L179="","","_"&amp;L179)&amp;".png"</x:f>
        <x:v>nm_v2_env_corridor_cladding_middle.png</x:v>
      </x:c>
      <x:c r="B179" s="38" t="str">
        <x:v>ENV_V2_004</x:v>
      </x:c>
      <x:c r="C179" s="38" t="str">
        <x:v>走廊背墙中段</x:v>
      </x:c>
      <x:c r="D179" s="38" t="str">
        <x:f>"【交付文件】"&amp;A179&amp;CHAR(10)&amp;"【本张任务】"&amp;C179&amp;CHAR(10)&amp;'生成规范'!$B$8&amp;CHAR(10)&amp;"【单张范围】"&amp;E179&amp;CHAR(10)&amp;"【本组造型约束】"&amp;INDEX('素材需求'!$F$8:$F$119,MATCH(B179,'素材需求'!$A$8:$A$119,0))&amp;CHAR(10)&amp;"【参考对象】"&amp;F179&amp;CHAR(10)&amp;"【制作规格】"&amp;I179&amp;"；"&amp;INDEX('素材需求'!$M$8:$M$119,MATCH(B179,'素材需求'!$A$8:$A$119,0))&amp;CHAR(10)&amp;"【颜色】"&amp;'生成规范'!$B$10&amp;"；"&amp;'生成规范'!$B$11&amp;CHAR(10)&amp;"【输出规则】"&amp;'生成规范'!$B$12&amp;" 后处理对齐尺寸与轴点；交付用途："&amp;H179&amp;CHAR(10)&amp;"【禁止项】"&amp;'生成规范'!$B$9&amp;"；"&amp;INDEX('素材需求'!$N$8:$N$119,MATCH(B179,'素材需求'!$A$8:$A$119,0))</x:f>
        <x:v>【交付文件】nm_v2_env_corridor_cladding_middle.png
【本张任务】走廊背墙中段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【单张范围】本次只画1024×512的可横向平铺蓝灰背墙中段，干净中央活动带，不含地板或门；单件独立PNG，不附其他同组部件、人物或背景。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蓝灰干净壁板，稀疏嵌入式检修盖；角色活动高度保留连续净空。封边只是背墙收口，不能是堵路的前景实墙。
【参考对象】现代办公科研楼的封闭联络走廊背墙、嵌入式检修盖与边缘收口，参考简洁连续壁板。只参考结构，按本版色板绘制为二维正交侧视素材，不照搬对象的原配色、品牌或文字。
【制作规格】1024×512 px；单张RGBA透明PNG，sRGB，8bit；画布外缘和非主体区域透明。；背墙下缘左端，对应实际走廊地板。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79" s="38" t="str">
        <x:v>本次只画1024×512的可横向平铺蓝灰背墙中段，干净中央活动带，不含地板或门；单件独立PNG，不附其他同组部件、人物或背景。</x:v>
      </x:c>
      <x:c r="F179" s="38" t="str">
        <x:f>INDEX('素材需求'!$G$8:$G$119,MATCH(B179,'素材需求'!$A$8:$A$119,0))</x:f>
        <x:v>现代办公科研楼的封闭联络走廊背墙、嵌入式检修盖与边缘收口，参考简洁连续壁板。只参考结构，按本版色板绘制为二维正交侧视素材，不照搬对象的原配色、品牌或文字。</x:v>
      </x:c>
      <x:c r="G179" s="38" t="str">
        <x:f>INDEX('素材需求'!$B$8:$B$119,MATCH(B179,'素材需求'!$A$8:$A$119,0))</x:f>
        <x:v>P0常态</x:v>
      </x:c>
      <x:c r="H179" s="38" t="str">
        <x:v>游戏拆件／贴图</x:v>
      </x:c>
      <x:c r="I179" s="38" t="str">
        <x:v>1024×512 px；单张RGBA透明PNG，sRGB，8bit；画布外缘和非主体区域透明。</x:v>
      </x:c>
      <x:c r="J179" s="38" t="str">
        <x:v>art_delivery/nm_v2/environment/</x:v>
      </x:c>
      <x:c r="K179" s="45" t="str">
        <x:v>待生成</x:v>
      </x:c>
      <x:c r="L179" s="38" t="str">
        <x:v>middle</x:v>
      </x:c>
    </x:row>
    <x:row r="180" ht="271.5" customHeight="1">
      <x:c r="A180" s="37" t="str">
        <x:f>INDEX('素材需求'!$D$8:$D$119,MATCH(B180,'素材需求'!$A$8:$A$119,0))&amp;IF(L180="","","_"&amp;L180)&amp;".png"</x:f>
        <x:v>nm_v2_env_corridor_cladding_edge_left.png</x:v>
      </x:c>
      <x:c r="B180" s="37" t="str">
        <x:v>ENV_V2_004</x:v>
      </x:c>
      <x:c r="C180" s="37" t="str">
        <x:v>走廊背墙左收边</x:v>
      </x:c>
      <x:c r="D180" s="37" t="str">
        <x:f>"【交付文件】"&amp;A180&amp;CHAR(10)&amp;"【本张任务】"&amp;C180&amp;CHAR(10)&amp;'生成规范'!$B$8&amp;CHAR(10)&amp;"【单张范围】"&amp;E180&amp;CHAR(10)&amp;"【本组造型约束】"&amp;INDEX('素材需求'!$F$8:$F$119,MATCH(B180,'素材需求'!$A$8:$A$119,0))&amp;CHAR(10)&amp;"【参考对象】"&amp;F180&amp;CHAR(10)&amp;"【制作规格】"&amp;I180&amp;"；"&amp;INDEX('素材需求'!$M$8:$M$119,MATCH(B180,'素材需求'!$A$8:$A$119,0))&amp;CHAR(10)&amp;"【颜色】"&amp;'生成规范'!$B$10&amp;"；"&amp;'生成规范'!$B$11&amp;CHAR(10)&amp;"【输出规则】"&amp;'生成规范'!$B$12&amp;" 后处理对齐尺寸与轴点；交付用途："&amp;H180&amp;CHAR(10)&amp;"【禁止项】"&amp;'生成规范'!$B$9&amp;"；"&amp;INDEX('素材需求'!$N$8:$N$119,MATCH(B180,'素材需求'!$A$8:$A$119,0))</x:f>
        <x:v>【交付文件】nm_v2_env_corridor_cladding_edge_left.png
【本张任务】走廊背墙左收边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【单张范围】本次只画256×512的左侧背景收边，右边与中段接口一致，不画横挡通路的墙；单件独立PNG，不附其他同组部件、人物或背景。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蓝灰干净壁板，稀疏嵌入式检修盖；角色活动高度保留连续净空。封边只是背墙收口，不能是堵路的前景实墙。
【参考对象】现代办公科研楼的封闭联络走廊背墙、嵌入式检修盖与边缘收口，参考简洁连续壁板。只参考结构，按本版色板绘制为二维正交侧视素材，不照搬对象的原配色、品牌或文字。
【制作规格】256×512 px；单张RGBA透明PNG，sRGB，8bit；画布外缘和非主体区域透明。；背墙下缘左端，对应实际走廊地板。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80" s="37" t="str">
        <x:v>本次只画256×512的左侧背景收边，右边与中段接口一致，不画横挡通路的墙；单件独立PNG，不附其他同组部件、人物或背景。</x:v>
      </x:c>
      <x:c r="F180" s="37" t="str">
        <x:f>INDEX('素材需求'!$G$8:$G$119,MATCH(B180,'素材需求'!$A$8:$A$119,0))</x:f>
        <x:v>现代办公科研楼的封闭联络走廊背墙、嵌入式检修盖与边缘收口，参考简洁连续壁板。只参考结构，按本版色板绘制为二维正交侧视素材，不照搬对象的原配色、品牌或文字。</x:v>
      </x:c>
      <x:c r="G180" s="37" t="str">
        <x:f>INDEX('素材需求'!$B$8:$B$119,MATCH(B180,'素材需求'!$A$8:$A$119,0))</x:f>
        <x:v>P0常态</x:v>
      </x:c>
      <x:c r="H180" s="37" t="str">
        <x:v>游戏拆件／贴图</x:v>
      </x:c>
      <x:c r="I180" s="37" t="str">
        <x:v>256×512 px；单张RGBA透明PNG，sRGB，8bit；画布外缘和非主体区域透明。</x:v>
      </x:c>
      <x:c r="J180" s="37" t="str">
        <x:v>art_delivery/nm_v2/environment/</x:v>
      </x:c>
      <x:c r="K180" s="45" t="str">
        <x:v>待生成</x:v>
      </x:c>
      <x:c r="L180" s="37" t="str">
        <x:v>edge_left</x:v>
      </x:c>
    </x:row>
    <x:row r="181" ht="271.5" customHeight="1">
      <x:c r="A181" s="38" t="str">
        <x:f>INDEX('素材需求'!$D$8:$D$119,MATCH(B181,'素材需求'!$A$8:$A$119,0))&amp;IF(L181="","","_"&amp;L181)&amp;".png"</x:f>
        <x:v>nm_v2_env_corridor_cladding_edge_right.png</x:v>
      </x:c>
      <x:c r="B181" s="38" t="str">
        <x:v>ENV_V2_004</x:v>
      </x:c>
      <x:c r="C181" s="38" t="str">
        <x:v>走廊背墙右收边</x:v>
      </x:c>
      <x:c r="D181" s="38" t="str">
        <x:f>"【交付文件】"&amp;A181&amp;CHAR(10)&amp;"【本张任务】"&amp;C181&amp;CHAR(10)&amp;'生成规范'!$B$8&amp;CHAR(10)&amp;"【单张范围】"&amp;E181&amp;CHAR(10)&amp;"【本组造型约束】"&amp;INDEX('素材需求'!$F$8:$F$119,MATCH(B181,'素材需求'!$A$8:$A$119,0))&amp;CHAR(10)&amp;"【参考对象】"&amp;F181&amp;CHAR(10)&amp;"【制作规格】"&amp;I181&amp;"；"&amp;INDEX('素材需求'!$M$8:$M$119,MATCH(B181,'素材需求'!$A$8:$A$119,0))&amp;CHAR(10)&amp;"【颜色】"&amp;'生成规范'!$B$10&amp;"；"&amp;'生成规范'!$B$11&amp;CHAR(10)&amp;"【输出规则】"&amp;'生成规范'!$B$12&amp;" 后处理对齐尺寸与轴点；交付用途："&amp;H181&amp;CHAR(10)&amp;"【禁止项】"&amp;'生成规范'!$B$9&amp;"；"&amp;INDEX('素材需求'!$N$8:$N$119,MATCH(B181,'素材需求'!$A$8:$A$119,0))</x:f>
        <x:v>【交付文件】nm_v2_env_corridor_cladding_edge_right.png
【本张任务】走廊背墙右收边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【单张范围】本次只画256×512的右侧背景收边，左边与中段接口一致，不画横挡通路的墙；单件独立PNG，不附其他同组部件、人物或背景。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蓝灰干净壁板，稀疏嵌入式检修盖；角色活动高度保留连续净空。封边只是背墙收口，不能是堵路的前景实墙。
【参考对象】现代办公科研楼的封闭联络走廊背墙、嵌入式检修盖与边缘收口，参考简洁连续壁板。只参考结构，按本版色板绘制为二维正交侧视素材，不照搬对象的原配色、品牌或文字。
【制作规格】256×512 px；单张RGBA透明PNG，sRGB，8bit；画布外缘和非主体区域透明。；背墙下缘左端，对应实际走廊地板。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81" s="38" t="str">
        <x:v>本次只画256×512的右侧背景收边，左边与中段接口一致，不画横挡通路的墙；单件独立PNG，不附其他同组部件、人物或背景。</x:v>
      </x:c>
      <x:c r="F181" s="38" t="str">
        <x:f>INDEX('素材需求'!$G$8:$G$119,MATCH(B181,'素材需求'!$A$8:$A$119,0))</x:f>
        <x:v>现代办公科研楼的封闭联络走廊背墙、嵌入式检修盖与边缘收口，参考简洁连续壁板。只参考结构，按本版色板绘制为二维正交侧视素材，不照搬对象的原配色、品牌或文字。</x:v>
      </x:c>
      <x:c r="G181" s="38" t="str">
        <x:f>INDEX('素材需求'!$B$8:$B$119,MATCH(B181,'素材需求'!$A$8:$A$119,0))</x:f>
        <x:v>P0常态</x:v>
      </x:c>
      <x:c r="H181" s="38" t="str">
        <x:v>游戏拆件／贴图</x:v>
      </x:c>
      <x:c r="I181" s="38" t="str">
        <x:v>256×512 px；单张RGBA透明PNG，sRGB，8bit；画布外缘和非主体区域透明。</x:v>
      </x:c>
      <x:c r="J181" s="38" t="str">
        <x:v>art_delivery/nm_v2/environment/</x:v>
      </x:c>
      <x:c r="K181" s="45" t="str">
        <x:v>待生成</x:v>
      </x:c>
      <x:c r="L181" s="38" t="str">
        <x:v>edge_right</x:v>
      </x:c>
    </x:row>
    <x:row r="182" ht="271.5" customHeight="1">
      <x:c r="A182" s="37" t="str">
        <x:f>INDEX('素材需求'!$D$8:$D$119,MATCH(B182,'素材需求'!$A$8:$A$119,0))&amp;IF(L182="","","_"&amp;L182)&amp;".png"</x:f>
        <x:v>nm_v2_env_access_door_frame_frame.png</x:v>
      </x:c>
      <x:c r="B182" s="37" t="str">
        <x:v>ENV_V2_005</x:v>
      </x:c>
      <x:c r="C182" s="37" t="str">
        <x:v>门禁安全门固定框</x:v>
      </x:c>
      <x:c r="D182" s="37" t="str">
        <x:f>"【交付文件】"&amp;A182&amp;CHAR(10)&amp;"【本张任务】"&amp;C182&amp;CHAR(10)&amp;'生成规范'!$B$8&amp;CHAR(10)&amp;"【单张范围】"&amp;E182&amp;CHAR(10)&amp;"【本组造型约束】"&amp;INDEX('素材需求'!$F$8:$F$119,MATCH(B182,'素材需求'!$A$8:$A$119,0))&amp;CHAR(10)&amp;"【参考对象】"&amp;F182&amp;CHAR(10)&amp;"【制作规格】"&amp;I182&amp;"；"&amp;INDEX('素材需求'!$M$8:$M$119,MATCH(B182,'素材需求'!$A$8:$A$119,0))&amp;CHAR(10)&amp;"【颜色】"&amp;'生成规范'!$B$10&amp;"；"&amp;'生成规范'!$B$11&amp;CHAR(10)&amp;"【输出规则】"&amp;'生成规范'!$B$12&amp;" 后处理对齐尺寸与轴点；交付用途："&amp;H182&amp;CHAR(10)&amp;"【禁止项】"&amp;'生成规范'!$B$9&amp;"；"&amp;INDEX('素材需求'!$N$8:$N$119,MATCH(B182,'素材需求'!$A$8:$A$119,0))</x:f>
        <x:v>【交付文件】nm_v2_env_access_door_frame_frame.png
【本张任务】门禁安全门固定框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【单张范围】本次只画一个512×1024的窄高侧视门框，主体完整、内部门口完全透明，保留顶端灯安装凹位；单件独立PNG，不附其他同组部件、人物或背景。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窄高蓝灰金属框、冷白安全内衬，顶部仅留独立状态灯安装位；开口透明。可左右翻转适配N01/N03右门与N02/N04/N05/SAFE左门。门框无监狱栅条和重警戒条。
【参考对象】现代实验室玻璃安全门的窄金属固定框、洁净室门口边封和顶部指示灯安装位，参考开口净空。只参考结构，按本版色板绘制为二维正交侧视素材，不照搬对象的原配色、品牌或文字。
【制作规格】512×1024 px；单张RGBA透明PNG，sRGB，8bit；画布外缘和非主体区域透明。；底部通行口中心，对齐各doorNode及safe-door。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82" s="37" t="str">
        <x:v>本次只画一个512×1024的窄高侧视门框，主体完整、内部门口完全透明，保留顶端灯安装凹位；单件独立PNG，不附其他同组部件、人物或背景。</x:v>
      </x:c>
      <x:c r="F182" s="37" t="str">
        <x:f>INDEX('素材需求'!$G$8:$G$119,MATCH(B182,'素材需求'!$A$8:$A$119,0))</x:f>
        <x:v>现代实验室玻璃安全门的窄金属固定框、洁净室门口边封和顶部指示灯安装位，参考开口净空。只参考结构，按本版色板绘制为二维正交侧视素材，不照搬对象的原配色、品牌或文字。</x:v>
      </x:c>
      <x:c r="G182" s="37" t="str">
        <x:f>INDEX('素材需求'!$B$8:$B$119,MATCH(B182,'素材需求'!$A$8:$A$119,0))</x:f>
        <x:v>P0常态</x:v>
      </x:c>
      <x:c r="H182" s="37" t="str">
        <x:v>游戏拆件／贴图</x:v>
      </x:c>
      <x:c r="I182" s="37" t="str">
        <x:v>512×1024 px；单张RGBA透明PNG，sRGB，8bit；画布外缘和非主体区域透明。</x:v>
      </x:c>
      <x:c r="J182" s="37" t="str">
        <x:v>art_delivery/nm_v2/environment/</x:v>
      </x:c>
      <x:c r="K182" s="45" t="str">
        <x:v>待生成</x:v>
      </x:c>
      <x:c r="L182" s="37" t="str">
        <x:v>frame</x:v>
      </x:c>
    </x:row>
    <x:row r="183" ht="271.5" customHeight="1">
      <x:c r="A183" s="38" t="str">
        <x:f>INDEX('素材需求'!$D$8:$D$119,MATCH(B183,'素材需求'!$A$8:$A$119,0))&amp;IF(L183="","","_"&amp;L183)&amp;".png"</x:f>
        <x:v>nm_v2_env_access_door_leaf_leaf.png</x:v>
      </x:c>
      <x:c r="B183" s="38" t="str">
        <x:v>ENV_V2_006</x:v>
      </x:c>
      <x:c r="C183" s="38" t="str">
        <x:v>独立安全门扇</x:v>
      </x:c>
      <x:c r="D183" s="38" t="str">
        <x:f>"【交付文件】"&amp;A183&amp;CHAR(10)&amp;"【本张任务】"&amp;C183&amp;CHAR(10)&amp;'生成规范'!$B$8&amp;CHAR(10)&amp;"【单张范围】"&amp;E183&amp;CHAR(10)&amp;"【本组造型约束】"&amp;INDEX('素材需求'!$F$8:$F$119,MATCH(B183,'素材需求'!$A$8:$A$119,0))&amp;CHAR(10)&amp;"【参考对象】"&amp;F183&amp;CHAR(10)&amp;"【制作规格】"&amp;I183&amp;"；"&amp;INDEX('素材需求'!$M$8:$M$119,MATCH(B183,'素材需求'!$A$8:$A$119,0))&amp;CHAR(10)&amp;"【颜色】"&amp;'生成规范'!$B$10&amp;"；"&amp;'生成规范'!$B$11&amp;CHAR(10)&amp;"【输出规则】"&amp;'生成规范'!$B$12&amp;" 后处理对齐尺寸与轴点；交付用途："&amp;H183&amp;CHAR(10)&amp;"【禁止项】"&amp;'生成规范'!$B$9&amp;"；"&amp;INDEX('素材需求'!$N$8:$N$119,MATCH(B183,'素材需求'!$A$8:$A$119,0))</x:f>
        <x:v>【交付文件】nm_v2_env_access_door_leaf_leaf.png
【本张任务】独立安全门扇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【单张范围】本次只画一个256×1024的窄滑动门扇，固定关闭姿态，包含一条简洁玻璃窗，不画门框；单件独立PNG，不附其他同组部件、人物或背景。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单独关闭位置的窄门扇，平整蓝灰金属板、细冷白玻璃窄窗；无把手交互暗示、无警报文字。门扇与框分离便于现有真实开关显示。
【参考对象】现代实验室窄滑动门扇、蓝灰金属覆板与细玻璃观察条，参考可独立拆卸的门扇轮廓。只参考结构，按本版色板绘制为二维正交侧视素材，不照搬对象的原配色、品牌或文字。
【制作规格】256×1024 px；单张RGBA透明PNG，sRGB，8bit；画布外缘和非主体区域透明。；门扇下边中心，与门框脚底一致。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83" s="38" t="str">
        <x:v>本次只画一个256×1024的窄滑动门扇，固定关闭姿态，包含一条简洁玻璃窗，不画门框；单件独立PNG，不附其他同组部件、人物或背景。</x:v>
      </x:c>
      <x:c r="F183" s="38" t="str">
        <x:f>INDEX('素材需求'!$G$8:$G$119,MATCH(B183,'素材需求'!$A$8:$A$119,0))</x:f>
        <x:v>现代实验室窄滑动门扇、蓝灰金属覆板与细玻璃观察条，参考可独立拆卸的门扇轮廓。只参考结构，按本版色板绘制为二维正交侧视素材，不照搬对象的原配色、品牌或文字。</x:v>
      </x:c>
      <x:c r="G183" s="38" t="str">
        <x:f>INDEX('素材需求'!$B$8:$B$119,MATCH(B183,'素材需求'!$A$8:$A$119,0))</x:f>
        <x:v>P0常态</x:v>
      </x:c>
      <x:c r="H183" s="38" t="str">
        <x:v>游戏拆件／贴图</x:v>
      </x:c>
      <x:c r="I183" s="38" t="str">
        <x:v>256×1024 px；单张RGBA透明PNG，sRGB，8bit；画布外缘和非主体区域透明。</x:v>
      </x:c>
      <x:c r="J183" s="38" t="str">
        <x:v>art_delivery/nm_v2/environment/</x:v>
      </x:c>
      <x:c r="K183" s="45" t="str">
        <x:v>待生成</x:v>
      </x:c>
      <x:c r="L183" s="38" t="str">
        <x:v>leaf</x:v>
      </x:c>
    </x:row>
    <x:row r="184" ht="271.5" customHeight="1">
      <x:c r="A184" s="37" t="str">
        <x:f>INDEX('素材需求'!$D$8:$D$119,MATCH(B184,'素材需求'!$A$8:$A$119,0))&amp;IF(L184="","","_"&amp;L184)&amp;".png"</x:f>
        <x:v>nm_v2_env_observation_window_frame.png</x:v>
      </x:c>
      <x:c r="B184" s="37" t="str">
        <x:v>ENV_V2_007</x:v>
      </x:c>
      <x:c r="C184" s="37" t="str">
        <x:v>观察窗金属框</x:v>
      </x:c>
      <x:c r="D184" s="37" t="str">
        <x:f>"【交付文件】"&amp;A184&amp;CHAR(10)&amp;"【本张任务】"&amp;C184&amp;CHAR(10)&amp;'生成规范'!$B$8&amp;CHAR(10)&amp;"【单张范围】"&amp;E184&amp;CHAR(10)&amp;"【本组造型约束】"&amp;INDEX('素材需求'!$F$8:$F$119,MATCH(B184,'素材需求'!$A$8:$A$119,0))&amp;CHAR(10)&amp;"【参考对象】"&amp;F184&amp;CHAR(10)&amp;"【制作规格】"&amp;I184&amp;"；"&amp;INDEX('素材需求'!$M$8:$M$119,MATCH(B184,'素材需求'!$A$8:$A$119,0))&amp;CHAR(10)&amp;"【颜色】"&amp;'生成规范'!$B$10&amp;"；"&amp;'生成规范'!$B$11&amp;CHAR(10)&amp;"【输出规则】"&amp;'生成规范'!$B$12&amp;" 后处理对齐尺寸与轴点；交付用途："&amp;H184&amp;CHAR(10)&amp;"【禁止项】"&amp;'生成规范'!$B$9&amp;"；"&amp;INDEX('素材需求'!$N$8:$N$119,MATCH(B184,'素材需求'!$A$8:$A$119,0))</x:f>
        <x:v>【交付文件】nm_v2_env_observation_window_frame.png
【本张任务】观察窗金属框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【单张范围】本次只画1024×768的观察窗独立窄框，内口完全透明，可九宫格装配，不含玻璃；单件独立PNG，不附其他同组部件、人物或背景。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细而清楚的金属框、冷白蓝灰透明玻璃、边角克制反射。框内口保持透明，玻璃与反光独立，画面中心可看清样本。反光不得含人物、怪物或另一房间倒影。
【参考对象】现代医院玻璃隔断、实验室观察窗的窄金属框与低反光玻璃，参考框、玻璃、反光分层关系。只参考结构，按本版色板绘制为二维正交侧视素材，不照搬对象的原配色、品牌或文字。
【制作规格】1024×768 px；单张RGBA透明PNG，sRGB，8bit；画布外缘和非主体区域透明。；统一窗口左上；内口边界一致。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84" s="37" t="str">
        <x:v>本次只画1024×768的观察窗独立窄框，内口完全透明，可九宫格装配，不含玻璃；单件独立PNG，不附其他同组部件、人物或背景。</x:v>
      </x:c>
      <x:c r="F184" s="37" t="str">
        <x:f>INDEX('素材需求'!$G$8:$G$119,MATCH(B184,'素材需求'!$A$8:$A$119,0))</x:f>
        <x:v>现代医院玻璃隔断、实验室观察窗的窄金属框与低反光玻璃，参考框、玻璃、反光分层关系。只参考结构，按本版色板绘制为二维正交侧视素材，不照搬对象的原配色、品牌或文字。</x:v>
      </x:c>
      <x:c r="G184" s="37" t="str">
        <x:f>INDEX('素材需求'!$B$8:$B$119,MATCH(B184,'素材需求'!$A$8:$A$119,0))</x:f>
        <x:v>P0常态</x:v>
      </x:c>
      <x:c r="H184" s="37" t="str">
        <x:v>游戏拆件／贴图</x:v>
      </x:c>
      <x:c r="I184" s="37" t="str">
        <x:v>1024×768 px；单张RGBA透明PNG，sRGB，8bit；画布外缘和非主体区域透明。</x:v>
      </x:c>
      <x:c r="J184" s="37" t="str">
        <x:v>art_delivery/nm_v2/environment/</x:v>
      </x:c>
      <x:c r="K184" s="45" t="str">
        <x:v>待生成</x:v>
      </x:c>
      <x:c r="L184" s="37" t="str">
        <x:v>frame</x:v>
      </x:c>
    </x:row>
    <x:row r="185" ht="271.5" customHeight="1">
      <x:c r="A185" s="38" t="str">
        <x:f>INDEX('素材需求'!$D$8:$D$119,MATCH(B185,'素材需求'!$A$8:$A$119,0))&amp;IF(L185="","","_"&amp;L185)&amp;".png"</x:f>
        <x:v>nm_v2_env_observation_window_glass.png</x:v>
      </x:c>
      <x:c r="B185" s="38" t="str">
        <x:v>ENV_V2_007</x:v>
      </x:c>
      <x:c r="C185" s="38" t="str">
        <x:v>观察窗玻璃层</x:v>
      </x:c>
      <x:c r="D185" s="38" t="str">
        <x:f>"【交付文件】"&amp;A185&amp;CHAR(10)&amp;"【本张任务】"&amp;C185&amp;CHAR(10)&amp;'生成规范'!$B$8&amp;CHAR(10)&amp;"【单张范围】"&amp;E185&amp;CHAR(10)&amp;"【本组造型约束】"&amp;INDEX('素材需求'!$F$8:$F$119,MATCH(B185,'素材需求'!$A$8:$A$119,0))&amp;CHAR(10)&amp;"【参考对象】"&amp;F185&amp;CHAR(10)&amp;"【制作规格】"&amp;I185&amp;"；"&amp;INDEX('素材需求'!$M$8:$M$119,MATCH(B185,'素材需求'!$A$8:$A$119,0))&amp;CHAR(10)&amp;"【颜色】"&amp;'生成规范'!$B$10&amp;"；"&amp;'生成规范'!$B$11&amp;CHAR(10)&amp;"【输出规则】"&amp;'生成规范'!$B$12&amp;" 后处理对齐尺寸与轴点；交付用途："&amp;H185&amp;CHAR(10)&amp;"【禁止项】"&amp;'生成规范'!$B$9&amp;"；"&amp;INDEX('素材需求'!$N$8:$N$119,MATCH(B185,'素材需求'!$A$8:$A$119,0))</x:f>
        <x:v>【交付文件】nm_v2_env_observation_window_glass.png
【本张任务】观察窗玻璃层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【单张范围】本次只画1024×768画布内口位置的低Alpha浅蓝玻璃，仅内口有像素，不含框和反光；单件独立PNG，不附其他同组部件、人物或背景。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细而清楚的金属框、冷白蓝灰透明玻璃、边角克制反射。框内口保持透明，玻璃与反光独立，画面中心可看清样本。反光不得含人物、怪物或另一房间倒影。
【参考对象】现代医院玻璃隔断、实验室观察窗的窄金属框与低反光玻璃，参考框、玻璃、反光分层关系。只参考结构，按本版色板绘制为二维正交侧视素材，不照搬对象的原配色、品牌或文字。
【制作规格】1024×768 px；单张RGBA透明PNG，sRGB，8bit；玻璃区域保留低Alpha，窗口外完全透明。；统一窗口左上；内口边界一致。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85" s="38" t="str">
        <x:v>本次只画1024×768画布内口位置的低Alpha浅蓝玻璃，仅内口有像素，不含框和反光；单件独立PNG，不附其他同组部件、人物或背景。</x:v>
      </x:c>
      <x:c r="F185" s="38" t="str">
        <x:f>INDEX('素材需求'!$G$8:$G$119,MATCH(B185,'素材需求'!$A$8:$A$119,0))</x:f>
        <x:v>现代医院玻璃隔断、实验室观察窗的窄金属框与低反光玻璃，参考框、玻璃、反光分层关系。只参考结构，按本版色板绘制为二维正交侧视素材，不照搬对象的原配色、品牌或文字。</x:v>
      </x:c>
      <x:c r="G185" s="38" t="str">
        <x:f>INDEX('素材需求'!$B$8:$B$119,MATCH(B185,'素材需求'!$A$8:$A$119,0))</x:f>
        <x:v>P0常态</x:v>
      </x:c>
      <x:c r="H185" s="38" t="str">
        <x:v>游戏拆件／贴图</x:v>
      </x:c>
      <x:c r="I185" s="38" t="str">
        <x:v>1024×768 px；单张RGBA透明PNG，sRGB，8bit；玻璃区域保留低Alpha，窗口外完全透明。</x:v>
      </x:c>
      <x:c r="J185" s="38" t="str">
        <x:v>art_delivery/nm_v2/environment/</x:v>
      </x:c>
      <x:c r="K185" s="45" t="str">
        <x:v>待生成</x:v>
      </x:c>
      <x:c r="L185" s="38" t="str">
        <x:v>glass</x:v>
      </x:c>
    </x:row>
    <x:row r="186" ht="271.5" customHeight="1">
      <x:c r="A186" s="37" t="str">
        <x:f>INDEX('素材需求'!$D$8:$D$119,MATCH(B186,'素材需求'!$A$8:$A$119,0))&amp;IF(L186="","","_"&amp;L186)&amp;".png"</x:f>
        <x:v>nm_v2_env_observation_window_reflection.png</x:v>
      </x:c>
      <x:c r="B186" s="37" t="str">
        <x:v>ENV_V2_007</x:v>
      </x:c>
      <x:c r="C186" s="37" t="str">
        <x:v>观察窗反光层</x:v>
      </x:c>
      <x:c r="D186" s="37" t="str">
        <x:f>"【交付文件】"&amp;A186&amp;CHAR(10)&amp;"【本张任务】"&amp;C186&amp;CHAR(10)&amp;'生成规范'!$B$8&amp;CHAR(10)&amp;"【单张范围】"&amp;E186&amp;CHAR(10)&amp;"【本组造型约束】"&amp;INDEX('素材需求'!$F$8:$F$119,MATCH(B186,'素材需求'!$A$8:$A$119,0))&amp;CHAR(10)&amp;"【参考对象】"&amp;F186&amp;CHAR(10)&amp;"【制作规格】"&amp;I186&amp;"；"&amp;INDEX('素材需求'!$M$8:$M$119,MATCH(B186,'素材需求'!$A$8:$A$119,0))&amp;CHAR(10)&amp;"【颜色】"&amp;'生成规范'!$B$10&amp;"；"&amp;'生成规范'!$B$11&amp;CHAR(10)&amp;"【输出规则】"&amp;'生成规范'!$B$12&amp;" 后处理对齐尺寸与轴点；交付用途："&amp;H186&amp;CHAR(10)&amp;"【禁止项】"&amp;'生成规范'!$B$9&amp;"；"&amp;INDEX('素材需求'!$N$8:$N$119,MATCH(B186,'素材需求'!$A$8:$A$119,0))</x:f>
        <x:v>【交付文件】nm_v2_env_observation_window_reflection.png
【本张任务】观察窗反光层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【单张范围】本次只画1024×768画布边角两条淡冷白反光，中心透明，严格对齐窗口内口；单件独立PNG，不附其他同组部件、人物或背景。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细而清楚的金属框、冷白蓝灰透明玻璃、边角克制反射。框内口保持透明，玻璃与反光独立，画面中心可看清样本。反光不得含人物、怪物或另一房间倒影。
【参考对象】现代医院玻璃隔断、实验室观察窗的窄金属框与低反光玻璃，参考框、玻璃、反光分层关系。只参考结构，按本版色板绘制为二维正交侧视素材，不照搬对象的原配色、品牌或文字。
【制作规格】1024×768 px；单张RGBA透明PNG，sRGB，8bit；只保留稀疏反光，其他区域完全透明。；统一窗口左上；内口边界一致。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86" s="37" t="str">
        <x:v>本次只画1024×768画布边角两条淡冷白反光，中心透明，严格对齐窗口内口；单件独立PNG，不附其他同组部件、人物或背景。</x:v>
      </x:c>
      <x:c r="F186" s="37" t="str">
        <x:f>INDEX('素材需求'!$G$8:$G$119,MATCH(B186,'素材需求'!$A$8:$A$119,0))</x:f>
        <x:v>现代医院玻璃隔断、实验室观察窗的窄金属框与低反光玻璃，参考框、玻璃、反光分层关系。只参考结构，按本版色板绘制为二维正交侧视素材，不照搬对象的原配色、品牌或文字。</x:v>
      </x:c>
      <x:c r="G186" s="37" t="str">
        <x:f>INDEX('素材需求'!$B$8:$B$119,MATCH(B186,'素材需求'!$A$8:$A$119,0))</x:f>
        <x:v>P0常态</x:v>
      </x:c>
      <x:c r="H186" s="37" t="str">
        <x:v>游戏拆件／贴图</x:v>
      </x:c>
      <x:c r="I186" s="37" t="str">
        <x:v>1024×768 px；单张RGBA透明PNG，sRGB，8bit；只保留稀疏反光，其他区域完全透明。</x:v>
      </x:c>
      <x:c r="J186" s="37" t="str">
        <x:v>art_delivery/nm_v2/environment/</x:v>
      </x:c>
      <x:c r="K186" s="45" t="str">
        <x:v>待生成</x:v>
      </x:c>
      <x:c r="L186" s="37" t="str">
        <x:v>reflection</x:v>
      </x:c>
    </x:row>
    <x:row r="187" ht="285.75" customHeight="1">
      <x:c r="A187" s="38" t="str">
        <x:f>INDEX('素材需求'!$D$8:$D$119,MATCH(B187,'素材需求'!$A$8:$A$119,0))&amp;IF(L187="","","_"&amp;L187)&amp;".png"</x:f>
        <x:v>nm_v2_env_transit_ladder_ladder.png</x:v>
      </x:c>
      <x:c r="B187" s="38" t="str">
        <x:v>ENV_V2_008</x:v>
      </x:c>
      <x:c r="C187" s="38" t="str">
        <x:v>联络井金属梯架</x:v>
      </x:c>
      <x:c r="D187" s="38" t="str">
        <x:f>"【交付文件】"&amp;A187&amp;CHAR(10)&amp;"【本张任务】"&amp;C187&amp;CHAR(10)&amp;'生成规范'!$B$8&amp;CHAR(10)&amp;"【单张范围】"&amp;E187&amp;CHAR(10)&amp;"【本组造型约束】"&amp;INDEX('素材需求'!$F$8:$F$119,MATCH(B187,'素材需求'!$A$8:$A$119,0))&amp;CHAR(10)&amp;"【参考对象】"&amp;F187&amp;CHAR(10)&amp;"【制作规格】"&amp;I187&amp;"；"&amp;INDEX('素材需求'!$M$8:$M$119,MATCH(B187,'素材需求'!$A$8:$A$119,0))&amp;CHAR(10)&amp;"【颜色】"&amp;'生成规范'!$B$10&amp;"；"&amp;'生成规范'!$B$11&amp;CHAR(10)&amp;"【输出规则】"&amp;'生成规范'!$B$12&amp;" 后处理对齐尺寸与轴点；交付用途："&amp;H187&amp;CHAR(10)&amp;"【禁止项】"&amp;'生成规范'!$B$9&amp;"；"&amp;INDEX('素材需求'!$N$8:$N$119,MATCH(B187,'素材需求'!$A$8:$A$119,0))</x:f>
        <x:v>【交付文件】nm_v2_env_transit_ladder_ladder.png
【本张任务】联络井金属梯架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【单张范围】本次只画512×1024的连续固定梯架，等间距横档和完整两侧轨，上下接口一致，不画井壁或平台；单件独立PNG，不附其他同组部件、人物或背景。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固定检修梯，干净金属侧轨、防滑横档与低对比井壁；上下可重复。梯架中心必须清楚，支撑现有人物逐步攀爬动作。虽附件允许竖向交通多种形态，本工程继续使用真实梯井。
【参考对象】现代科研建筑检修通道的固定金属梯、均匀防滑横档与封闭蓝灰井壁，参考真实攀爬结构，不参考电梯厢。只参考结构，按本版色板绘制为二维正交侧视素材，不照搬对象的原配色、品牌或文字。
【制作规格】512×1024 px；单张RGBA透明PNG，sRGB，8bit；画布外缘和非主体区域透明。；梯架中轴上端；井壁左上；上下重复节距统一。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87" s="38" t="str">
        <x:v>本次只画512×1024的连续固定梯架，等间距横档和完整两侧轨，上下接口一致，不画井壁或平台；单件独立PNG，不附其他同组部件、人物或背景。</x:v>
      </x:c>
      <x:c r="F187" s="38" t="str">
        <x:f>INDEX('素材需求'!$G$8:$G$119,MATCH(B187,'素材需求'!$A$8:$A$119,0))</x:f>
        <x:v>现代科研建筑检修通道的固定金属梯、均匀防滑横档与封闭蓝灰井壁，参考真实攀爬结构，不参考电梯厢。只参考结构，按本版色板绘制为二维正交侧视素材，不照搬对象的原配色、品牌或文字。</x:v>
      </x:c>
      <x:c r="G187" s="38" t="str">
        <x:f>INDEX('素材需求'!$B$8:$B$119,MATCH(B187,'素材需求'!$A$8:$A$119,0))</x:f>
        <x:v>P0常态</x:v>
      </x:c>
      <x:c r="H187" s="38" t="str">
        <x:v>游戏拆件／贴图</x:v>
      </x:c>
      <x:c r="I187" s="38" t="str">
        <x:v>512×1024 px；单张RGBA透明PNG，sRGB，8bit；画布外缘和非主体区域透明。</x:v>
      </x:c>
      <x:c r="J187" s="38" t="str">
        <x:v>art_delivery/nm_v2/environment/</x:v>
      </x:c>
      <x:c r="K187" s="45" t="str">
        <x:v>待生成</x:v>
      </x:c>
      <x:c r="L187" s="38" t="str">
        <x:v>ladder</x:v>
      </x:c>
    </x:row>
    <x:row r="188" ht="285.75" customHeight="1">
      <x:c r="A188" s="37" t="str">
        <x:f>INDEX('素材需求'!$D$8:$D$119,MATCH(B188,'素材需求'!$A$8:$A$119,0))&amp;IF(L188="","","_"&amp;L188)&amp;".png"</x:f>
        <x:v>nm_v2_env_transit_ladder_shaft_wall.png</x:v>
      </x:c>
      <x:c r="B188" s="37" t="str">
        <x:v>ENV_V2_008</x:v>
      </x:c>
      <x:c r="C188" s="37" t="str">
        <x:v>联络井蓝灰井壁</x:v>
      </x:c>
      <x:c r="D188" s="37" t="str">
        <x:f>"【交付文件】"&amp;A188&amp;CHAR(10)&amp;"【本张任务】"&amp;C188&amp;CHAR(10)&amp;'生成规范'!$B$8&amp;CHAR(10)&amp;"【单张范围】"&amp;E188&amp;CHAR(10)&amp;"【本组造型约束】"&amp;INDEX('素材需求'!$F$8:$F$119,MATCH(B188,'素材需求'!$A$8:$A$119,0))&amp;CHAR(10)&amp;"【参考对象】"&amp;F188&amp;CHAR(10)&amp;"【制作规格】"&amp;I188&amp;"；"&amp;INDEX('素材需求'!$M$8:$M$119,MATCH(B188,'素材需求'!$A$8:$A$119,0))&amp;CHAR(10)&amp;"【颜色】"&amp;'生成规范'!$B$10&amp;"；"&amp;'生成规范'!$B$11&amp;CHAR(10)&amp;"【输出规则】"&amp;'生成规范'!$B$12&amp;" 后处理对齐尺寸与轴点；交付用途："&amp;H188&amp;CHAR(10)&amp;"【禁止项】"&amp;'生成规范'!$B$9&amp;"；"&amp;INDEX('素材需求'!$N$8:$N$119,MATCH(B188,'素材需求'!$A$8:$A$119,0))</x:f>
        <x:v>【交付文件】nm_v2_env_transit_ladder_shaft_wall.png
【本张任务】联络井蓝灰井壁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【单张范围】本次只画512×1024的低对比蓝灰井壁平铺底，中央干净容纳独立梯架，不画梯、门或电梯；单件独立PNG，不附其他同组部件、人物或背景。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固定检修梯，干净金属侧轨、防滑横档与低对比井壁；上下可重复。梯架中心必须清楚，支撑现有人物逐步攀爬动作。虽附件允许竖向交通多种形态，本工程继续使用真实梯井。
【参考对象】现代科研建筑检修通道的固定金属梯、均匀防滑横档与封闭蓝灰井壁，参考真实攀爬结构，不参考电梯厢。只参考结构，按本版色板绘制为二维正交侧视素材，不照搬对象的原配色、品牌或文字。
【制作规格】512×1024 px；单张RGBA透明PNG，sRGB，8bit；画布外缘和非主体区域透明。；梯架中轴上端；井壁左上；上下重复节距统一。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88" s="37" t="str">
        <x:v>本次只画512×1024的低对比蓝灰井壁平铺底，中央干净容纳独立梯架，不画梯、门或电梯；单件独立PNG，不附其他同组部件、人物或背景。</x:v>
      </x:c>
      <x:c r="F188" s="37" t="str">
        <x:f>INDEX('素材需求'!$G$8:$G$119,MATCH(B188,'素材需求'!$A$8:$A$119,0))</x:f>
        <x:v>现代科研建筑检修通道的固定金属梯、均匀防滑横档与封闭蓝灰井壁，参考真实攀爬结构，不参考电梯厢。只参考结构，按本版色板绘制为二维正交侧视素材，不照搬对象的原配色、品牌或文字。</x:v>
      </x:c>
      <x:c r="G188" s="37" t="str">
        <x:f>INDEX('素材需求'!$B$8:$B$119,MATCH(B188,'素材需求'!$A$8:$A$119,0))</x:f>
        <x:v>P0常态</x:v>
      </x:c>
      <x:c r="H188" s="37" t="str">
        <x:v>游戏拆件／贴图</x:v>
      </x:c>
      <x:c r="I188" s="37" t="str">
        <x:v>512×1024 px；单张RGBA透明PNG，sRGB，8bit；画布外缘和非主体区域透明。</x:v>
      </x:c>
      <x:c r="J188" s="37" t="str">
        <x:v>art_delivery/nm_v2/environment/</x:v>
      </x:c>
      <x:c r="K188" s="45" t="str">
        <x:v>待生成</x:v>
      </x:c>
      <x:c r="L188" s="37" t="str">
        <x:v>shaft_wall</x:v>
      </x:c>
    </x:row>
    <x:row r="189" ht="271.5" customHeight="1">
      <x:c r="A189" s="38" t="str">
        <x:f>INDEX('素材需求'!$D$8:$D$119,MATCH(B189,'素材需求'!$A$8:$A$119,0))&amp;IF(L189="","","_"&amp;L189)&amp;".png"</x:f>
        <x:v>nm_v2_env_transit_landing_landing_grate.png</x:v>
      </x:c>
      <x:c r="B189" s="38" t="str">
        <x:v>ENV_V2_009</x:v>
      </x:c>
      <x:c r="C189" s="38" t="str">
        <x:v>梯井节点落脚踏板</x:v>
      </x:c>
      <x:c r="D189" s="38" t="str">
        <x:f>"【交付文件】"&amp;A189&amp;CHAR(10)&amp;"【本张任务】"&amp;C189&amp;CHAR(10)&amp;'生成规范'!$B$8&amp;CHAR(10)&amp;"【单张范围】"&amp;E189&amp;CHAR(10)&amp;"【本组造型约束】"&amp;INDEX('素材需求'!$F$8:$F$119,MATCH(B189,'素材需求'!$A$8:$A$119,0))&amp;CHAR(10)&amp;"【参考对象】"&amp;F189&amp;CHAR(10)&amp;"【制作规格】"&amp;I189&amp;"；"&amp;INDEX('素材需求'!$M$8:$M$119,MATCH(B189,'素材需求'!$A$8:$A$119,0))&amp;CHAR(10)&amp;"【颜色】"&amp;'生成规范'!$B$10&amp;"；"&amp;'生成规范'!$B$11&amp;CHAR(10)&amp;"【输出规则】"&amp;'生成规范'!$B$12&amp;" 后处理对齐尺寸与轴点；交付用途："&amp;H189&amp;CHAR(10)&amp;"【禁止项】"&amp;'生成规范'!$B$9&amp;"；"&amp;INDEX('素材需求'!$N$8:$N$119,MATCH(B189,'素材需求'!$A$8:$A$119,0))</x:f>
        <x:v>【交付文件】nm_v2_env_transit_landing_landing_grate.png
【本张任务】梯井节点落脚踏板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【单张范围】本次只画1024×256的一块窄厚水平透空踏板，平直上沿、两端连接位，不画梯架；单件独立PNG，不附其他同组部件、人物或背景。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短水平金属网格踏板，清楚承重上沿、透空稀疏格纹；平台应能看到下面梯架，角色停留时有支撑但不能完全封住上下通道。
【参考对象】现代设备夹层的透空金属踏板和检修梯落脚格栅，参考薄而清楚的承重上沿与通透结构。只参考结构，按本版色板绘制为二维正交侧视素材，不照搬对象的原配色、品牌或文字。
【制作规格】1024×256 px；单张RGBA透明PNG，sRGB，8bit；画布外缘和非主体区域透明。；平台上承重线中点，对齐真实连接节点。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89" s="38" t="str">
        <x:v>本次只画1024×256的一块窄厚水平透空踏板，平直上沿、两端连接位，不画梯架；单件独立PNG，不附其他同组部件、人物或背景。</x:v>
      </x:c>
      <x:c r="F189" s="38" t="str">
        <x:f>INDEX('素材需求'!$G$8:$G$119,MATCH(B189,'素材需求'!$A$8:$A$119,0))</x:f>
        <x:v>现代设备夹层的透空金属踏板和检修梯落脚格栅，参考薄而清楚的承重上沿与通透结构。只参考结构，按本版色板绘制为二维正交侧视素材，不照搬对象的原配色、品牌或文字。</x:v>
      </x:c>
      <x:c r="G189" s="38" t="str">
        <x:f>INDEX('素材需求'!$B$8:$B$119,MATCH(B189,'素材需求'!$A$8:$A$119,0))</x:f>
        <x:v>P0常态</x:v>
      </x:c>
      <x:c r="H189" s="38" t="str">
        <x:v>游戏拆件／贴图</x:v>
      </x:c>
      <x:c r="I189" s="38" t="str">
        <x:v>1024×256 px；单张RGBA透明PNG，sRGB，8bit；画布外缘和非主体区域透明。</x:v>
      </x:c>
      <x:c r="J189" s="38" t="str">
        <x:v>art_delivery/nm_v2/environment/</x:v>
      </x:c>
      <x:c r="K189" s="45" t="str">
        <x:v>待生成</x:v>
      </x:c>
      <x:c r="L189" s="38" t="str">
        <x:v>landing_grate</x:v>
      </x:c>
    </x:row>
    <x:row r="190" ht="271.5" customHeight="1">
      <x:c r="A190" s="37" t="str">
        <x:f>INDEX('素材需求'!$D$8:$D$119,MATCH(B190,'素材需求'!$A$8:$A$119,0))&amp;IF(L190="","","_"&amp;L190)&amp;".png"</x:f>
        <x:v>nm_v2_env_linear_ceiling_light_housing.png</x:v>
      </x:c>
      <x:c r="B190" s="37" t="str">
        <x:v>ENV_V2_010</x:v>
      </x:c>
      <x:c r="C190" s="37" t="str">
        <x:v>线性顶灯外壳</x:v>
      </x:c>
      <x:c r="D190" s="37" t="str">
        <x:f>"【交付文件】"&amp;A190&amp;CHAR(10)&amp;"【本张任务】"&amp;C190&amp;CHAR(10)&amp;'生成规范'!$B$8&amp;CHAR(10)&amp;"【单张范围】"&amp;E190&amp;CHAR(10)&amp;"【本组造型约束】"&amp;INDEX('素材需求'!$F$8:$F$119,MATCH(B190,'素材需求'!$A$8:$A$119,0))&amp;CHAR(10)&amp;"【参考对象】"&amp;F190&amp;CHAR(10)&amp;"【制作规格】"&amp;I190&amp;"；"&amp;INDEX('素材需求'!$M$8:$M$119,MATCH(B190,'素材需求'!$A$8:$A$119,0))&amp;CHAR(10)&amp;"【颜色】"&amp;'生成规范'!$B$10&amp;"；"&amp;'生成规范'!$B$11&amp;CHAR(10)&amp;"【输出规则】"&amp;'生成规范'!$B$12&amp;" 后处理对齐尺寸与轴点；交付用途："&amp;H190&amp;CHAR(10)&amp;"【禁止项】"&amp;'生成规范'!$B$9&amp;"；"&amp;INDEX('素材需求'!$N$8:$N$119,MATCH(B190,'素材需求'!$A$8:$A$119,0))</x:f>
        <x:v>【交付文件】nm_v2_env_linear_ceiling_light_housing.png
【本张任务】线性顶灯外壳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【单张范围】本次只画1024×256的薄金属线性灯壳，发光安装位空白，平直简洁；单件独立PNG，不附其他同组部件、人物或背景。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窄扁金属灯罩与独立冷白漫射光条；常态灯温中性、医疗偏冷白，N01/N05可少量暖柔光。光条单层不带大光锥，不用黄铜灯罩或矿灯造型。
【参考对象】现代医院与中控办公室的窄型线性顶灯、铝制灯槽及乳白漫射条，参考独立外壳与光源结构。只参考结构，按本版色板绘制为二维正交侧视素材，不照搬对象的原配色、品牌或文字。
【制作规格】1024×256 px；单张RGBA透明PNG，sRGB，8bit；画布外缘和非主体区域透明。；上方安装线中心。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90" s="37" t="str">
        <x:v>本次只画1024×256的薄金属线性灯壳，发光安装位空白，平直简洁；单件独立PNG，不附其他同组部件、人物或背景。</x:v>
      </x:c>
      <x:c r="F190" s="37" t="str">
        <x:f>INDEX('素材需求'!$G$8:$G$119,MATCH(B190,'素材需求'!$A$8:$A$119,0))</x:f>
        <x:v>现代医院与中控办公室的窄型线性顶灯、铝制灯槽及乳白漫射条，参考独立外壳与光源结构。只参考结构，按本版色板绘制为二维正交侧视素材，不照搬对象的原配色、品牌或文字。</x:v>
      </x:c>
      <x:c r="G190" s="37" t="str">
        <x:f>INDEX('素材需求'!$B$8:$B$119,MATCH(B190,'素材需求'!$A$8:$A$119,0))</x:f>
        <x:v>P0常态</x:v>
      </x:c>
      <x:c r="H190" s="37" t="str">
        <x:v>游戏拆件／贴图</x:v>
      </x:c>
      <x:c r="I190" s="37" t="str">
        <x:v>1024×256 px；单张RGBA透明PNG，sRGB，8bit；画布外缘和非主体区域透明。</x:v>
      </x:c>
      <x:c r="J190" s="37" t="str">
        <x:v>art_delivery/nm_v2/environment/</x:v>
      </x:c>
      <x:c r="K190" s="45" t="str">
        <x:v>待生成</x:v>
      </x:c>
      <x:c r="L190" s="37" t="str">
        <x:v>housing</x:v>
      </x:c>
    </x:row>
    <x:row r="191" ht="271.5" customHeight="1">
      <x:c r="A191" s="38" t="str">
        <x:f>INDEX('素材需求'!$D$8:$D$119,MATCH(B191,'素材需求'!$A$8:$A$119,0))&amp;IF(L191="","","_"&amp;L191)&amp;".png"</x:f>
        <x:v>nm_v2_env_linear_ceiling_light_light_strip.png</x:v>
      </x:c>
      <x:c r="B191" s="38" t="str">
        <x:v>ENV_V2_010</x:v>
      </x:c>
      <x:c r="C191" s="38" t="str">
        <x:v>独立柔白光条</x:v>
      </x:c>
      <x:c r="D191" s="38" t="str">
        <x:f>"【交付文件】"&amp;A191&amp;CHAR(10)&amp;"【本张任务】"&amp;C191&amp;CHAR(10)&amp;'生成规范'!$B$8&amp;CHAR(10)&amp;"【单张范围】"&amp;E191&amp;CHAR(10)&amp;"【本组造型约束】"&amp;INDEX('素材需求'!$F$8:$F$119,MATCH(B191,'素材需求'!$A$8:$A$119,0))&amp;CHAR(10)&amp;"【参考对象】"&amp;F191&amp;CHAR(10)&amp;"【制作规格】"&amp;I191&amp;"；"&amp;INDEX('素材需求'!$M$8:$M$119,MATCH(B191,'素材需求'!$A$8:$A$119,0))&amp;CHAR(10)&amp;"【颜色】"&amp;'生成规范'!$B$10&amp;"；"&amp;'生成规范'!$B$11&amp;CHAR(10)&amp;"【输出规则】"&amp;'生成规范'!$B$12&amp;" 后处理对齐尺寸与轴点；交付用途："&amp;H191&amp;CHAR(10)&amp;"【禁止项】"&amp;'生成规范'!$B$9&amp;"；"&amp;INDEX('素材需求'!$N$8:$N$119,MATCH(B191,'素材需求'!$A$8:$A$119,0))</x:f>
        <x:v>【交付文件】nm_v2_env_linear_ceiling_light_light_strip.png
【本张任务】独立柔白光条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【单张范围】本次只画1024×256画布内一条与灯壳配准的冷白柔光条，透明周围，极小光晕；单件独立PNG，不附其他同组部件、人物或背景。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窄扁金属灯罩与独立冷白漫射光条；常态灯温中性、医疗偏冷白，N01/N05可少量暖柔光。光条单层不带大光锥，不用黄铜灯罩或矿灯造型。
【参考对象】现代医院与中控办公室的窄型线性顶灯、铝制灯槽及乳白漫射条，参考独立外壳与光源结构。只参考结构，按本版色板绘制为二维正交侧视素材，不照搬对象的原配色、品牌或文字。
【制作规格】1024×256 px；单张RGBA透明PNG，sRGB，8bit；画布外缘和非主体区域透明。；上方安装线中心。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91" s="38" t="str">
        <x:v>本次只画1024×256画布内一条与灯壳配准的冷白柔光条，透明周围，极小光晕；单件独立PNG，不附其他同组部件、人物或背景。</x:v>
      </x:c>
      <x:c r="F191" s="38" t="str">
        <x:f>INDEX('素材需求'!$G$8:$G$119,MATCH(B191,'素材需求'!$A$8:$A$119,0))</x:f>
        <x:v>现代医院与中控办公室的窄型线性顶灯、铝制灯槽及乳白漫射条，参考独立外壳与光源结构。只参考结构，按本版色板绘制为二维正交侧视素材，不照搬对象的原配色、品牌或文字。</x:v>
      </x:c>
      <x:c r="G191" s="38" t="str">
        <x:f>INDEX('素材需求'!$B$8:$B$119,MATCH(B191,'素材需求'!$A$8:$A$119,0))</x:f>
        <x:v>P0常态</x:v>
      </x:c>
      <x:c r="H191" s="38" t="str">
        <x:v>游戏拆件／贴图</x:v>
      </x:c>
      <x:c r="I191" s="38" t="str">
        <x:v>1024×256 px；单张RGBA透明PNG，sRGB，8bit；画布外缘和非主体区域透明。</x:v>
      </x:c>
      <x:c r="J191" s="38" t="str">
        <x:v>art_delivery/nm_v2/environment/</x:v>
      </x:c>
      <x:c r="K191" s="45" t="str">
        <x:v>待生成</x:v>
      </x:c>
      <x:c r="L191" s="38" t="str">
        <x:v>light_strip</x:v>
      </x:c>
    </x:row>
    <x:row r="192" ht="285.75" customHeight="1">
      <x:c r="A192" s="37" t="str">
        <x:f>INDEX('素材需求'!$D$8:$D$119,MATCH(B192,'素材需求'!$A$8:$A$119,0))&amp;IF(L192="","","_"&amp;L192)&amp;".png"</x:f>
        <x:v>nm_v2_env_service_conduit_horizontal.png</x:v>
      </x:c>
      <x:c r="B192" s="37" t="str">
        <x:v>ENV_V2_011</x:v>
      </x:c>
      <x:c r="C192" s="37" t="str">
        <x:v>水平服务管线</x:v>
      </x:c>
      <x:c r="D192" s="37" t="str">
        <x:f>"【交付文件】"&amp;A192&amp;CHAR(10)&amp;"【本张任务】"&amp;C192&amp;CHAR(10)&amp;'生成规范'!$B$8&amp;CHAR(10)&amp;"【单张范围】"&amp;E192&amp;CHAR(10)&amp;"【本组造型约束】"&amp;INDEX('素材需求'!$F$8:$F$119,MATCH(B192,'素材需求'!$A$8:$A$119,0))&amp;CHAR(10)&amp;"【参考对象】"&amp;F192&amp;CHAR(10)&amp;"【制作规格】"&amp;I192&amp;"；"&amp;INDEX('素材需求'!$M$8:$M$119,MATCH(B192,'素材需求'!$A$8:$A$119,0))&amp;CHAR(10)&amp;"【颜色】"&amp;'生成规范'!$B$10&amp;"；"&amp;'生成规范'!$B$11&amp;CHAR(10)&amp;"【输出规则】"&amp;'生成规范'!$B$12&amp;" 后处理对齐尺寸与轴点；交付用途："&amp;H192&amp;CHAR(10)&amp;"【禁止项】"&amp;'生成规范'!$B$9&amp;"；"&amp;INDEX('素材需求'!$N$8:$N$119,MATCH(B192,'素材需求'!$A$8:$A$119,0))</x:f>
        <x:v>【交付文件】nm_v2_env_service_conduit_horizontal.png
【本张任务】水平服务管线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【单张范围】本次只画1024×256的一根水平封闭蓝灰服务管，两端同截面可拼接；单件独立PNG，不附其他同组部件、人物或背景。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平整蓝灰包覆管线，固定卡扣与微弱冷青标识；接口口径一致。机械手轮改小型密封电控阀盒；不得画腐蚀液、漏水、锈斑或显眼警戒条。
【参考对象】现代数据中心的封闭服务管道、整洁线槽、直角接头与小型电控阀盒，参考统一截面和紧凑安装结构。只参考结构，按本版色板绘制为二维正交侧视素材，不照搬对象的原配色、品牌或文字。
【制作规格】1024×256 px；单张RGBA透明PNG，sRGB，8bit；画布外缘和非主体区域透明。；直段中轴起点；弯头接口交点；阀模块安装中心。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92" s="37" t="str">
        <x:v>本次只画1024×256的一根水平封闭蓝灰服务管，两端同截面可拼接；单件独立PNG，不附其他同组部件、人物或背景。</x:v>
      </x:c>
      <x:c r="F192" s="37" t="str">
        <x:f>INDEX('素材需求'!$G$8:$G$119,MATCH(B192,'素材需求'!$A$8:$A$119,0))</x:f>
        <x:v>现代数据中心的封闭服务管道、整洁线槽、直角接头与小型电控阀盒，参考统一截面和紧凑安装结构。只参考结构，按本版色板绘制为二维正交侧视素材，不照搬对象的原配色、品牌或文字。</x:v>
      </x:c>
      <x:c r="G192" s="37" t="str">
        <x:f>INDEX('素材需求'!$B$8:$B$119,MATCH(B192,'素材需求'!$A$8:$A$119,0))</x:f>
        <x:v>P0常态</x:v>
      </x:c>
      <x:c r="H192" s="37" t="str">
        <x:v>游戏拆件／贴图</x:v>
      </x:c>
      <x:c r="I192" s="37" t="str">
        <x:v>1024×256 px；单张RGBA透明PNG，sRGB，8bit；画布外缘和非主体区域透明。</x:v>
      </x:c>
      <x:c r="J192" s="37" t="str">
        <x:v>art_delivery/nm_v2/environment/</x:v>
      </x:c>
      <x:c r="K192" s="45" t="str">
        <x:v>待生成</x:v>
      </x:c>
      <x:c r="L192" s="37" t="str">
        <x:v>horizontal</x:v>
      </x:c>
    </x:row>
    <x:row r="193" ht="285.75" customHeight="1">
      <x:c r="A193" s="38" t="str">
        <x:f>INDEX('素材需求'!$D$8:$D$119,MATCH(B193,'素材需求'!$A$8:$A$119,0))&amp;IF(L193="","","_"&amp;L193)&amp;".png"</x:f>
        <x:v>nm_v2_env_service_conduit_vertical.png</x:v>
      </x:c>
      <x:c r="B193" s="38" t="str">
        <x:v>ENV_V2_011</x:v>
      </x:c>
      <x:c r="C193" s="38" t="str">
        <x:v>竖向服务管线</x:v>
      </x:c>
      <x:c r="D193" s="38" t="str">
        <x:f>"【交付文件】"&amp;A193&amp;CHAR(10)&amp;"【本张任务】"&amp;C193&amp;CHAR(10)&amp;'生成规范'!$B$8&amp;CHAR(10)&amp;"【单张范围】"&amp;E193&amp;CHAR(10)&amp;"【本组造型约束】"&amp;INDEX('素材需求'!$F$8:$F$119,MATCH(B193,'素材需求'!$A$8:$A$119,0))&amp;CHAR(10)&amp;"【参考对象】"&amp;F193&amp;CHAR(10)&amp;"【制作规格】"&amp;I193&amp;"；"&amp;INDEX('素材需求'!$M$8:$M$119,MATCH(B193,'素材需求'!$A$8:$A$119,0))&amp;CHAR(10)&amp;"【颜色】"&amp;'生成规范'!$B$10&amp;"；"&amp;'生成规范'!$B$11&amp;CHAR(10)&amp;"【输出规则】"&amp;'生成规范'!$B$12&amp;" 后处理对齐尺寸与轴点；交付用途："&amp;H193&amp;CHAR(10)&amp;"【禁止项】"&amp;'生成规范'!$B$9&amp;"；"&amp;INDEX('素材需求'!$N$8:$N$119,MATCH(B193,'素材需求'!$A$8:$A$119,0))</x:f>
        <x:v>【交付文件】nm_v2_env_service_conduit_vertical.png
【本张任务】竖向服务管线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【单张范围】本次只画256×1024的一根竖向封闭蓝灰服务管，上下同截面可拼接；单件独立PNG，不附其他同组部件、人物或背景。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平整蓝灰包覆管线，固定卡扣与微弱冷青标识；接口口径一致。机械手轮改小型密封电控阀盒；不得画腐蚀液、漏水、锈斑或显眼警戒条。
【参考对象】现代数据中心的封闭服务管道、整洁线槽、直角接头与小型电控阀盒，参考统一截面和紧凑安装结构。只参考结构，按本版色板绘制为二维正交侧视素材，不照搬对象的原配色、品牌或文字。
【制作规格】256×1024 px；单张RGBA透明PNG，sRGB，8bit；画布外缘和非主体区域透明。；直段中轴起点；弯头接口交点；阀模块安装中心。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93" s="38" t="str">
        <x:v>本次只画256×1024的一根竖向封闭蓝灰服务管，上下同截面可拼接；单件独立PNG，不附其他同组部件、人物或背景。</x:v>
      </x:c>
      <x:c r="F193" s="38" t="str">
        <x:f>INDEX('素材需求'!$G$8:$G$119,MATCH(B193,'素材需求'!$A$8:$A$119,0))</x:f>
        <x:v>现代数据中心的封闭服务管道、整洁线槽、直角接头与小型电控阀盒，参考统一截面和紧凑安装结构。只参考结构，按本版色板绘制为二维正交侧视素材，不照搬对象的原配色、品牌或文字。</x:v>
      </x:c>
      <x:c r="G193" s="38" t="str">
        <x:f>INDEX('素材需求'!$B$8:$B$119,MATCH(B193,'素材需求'!$A$8:$A$119,0))</x:f>
        <x:v>P0常态</x:v>
      </x:c>
      <x:c r="H193" s="38" t="str">
        <x:v>游戏拆件／贴图</x:v>
      </x:c>
      <x:c r="I193" s="38" t="str">
        <x:v>256×1024 px；单张RGBA透明PNG，sRGB，8bit；画布外缘和非主体区域透明。</x:v>
      </x:c>
      <x:c r="J193" s="38" t="str">
        <x:v>art_delivery/nm_v2/environment/</x:v>
      </x:c>
      <x:c r="K193" s="45" t="str">
        <x:v>待生成</x:v>
      </x:c>
      <x:c r="L193" s="38" t="str">
        <x:v>vertical</x:v>
      </x:c>
    </x:row>
    <x:row r="194" ht="285.75" customHeight="1">
      <x:c r="A194" s="37" t="str">
        <x:f>INDEX('素材需求'!$D$8:$D$119,MATCH(B194,'素材需求'!$A$8:$A$119,0))&amp;IF(L194="","","_"&amp;L194)&amp;".png"</x:f>
        <x:v>nm_v2_env_service_conduit_elbow.png</x:v>
      </x:c>
      <x:c r="B194" s="37" t="str">
        <x:v>ENV_V2_011</x:v>
      </x:c>
      <x:c r="C194" s="37" t="str">
        <x:v>服务管线直角转接</x:v>
      </x:c>
      <x:c r="D194" s="37" t="str">
        <x:f>"【交付文件】"&amp;A194&amp;CHAR(10)&amp;"【本张任务】"&amp;C194&amp;CHAR(10)&amp;'生成规范'!$B$8&amp;CHAR(10)&amp;"【单张范围】"&amp;E194&amp;CHAR(10)&amp;"【本组造型约束】"&amp;INDEX('素材需求'!$F$8:$F$119,MATCH(B194,'素材需求'!$A$8:$A$119,0))&amp;CHAR(10)&amp;"【参考对象】"&amp;F194&amp;CHAR(10)&amp;"【制作规格】"&amp;I194&amp;"；"&amp;INDEX('素材需求'!$M$8:$M$119,MATCH(B194,'素材需求'!$A$8:$A$119,0))&amp;CHAR(10)&amp;"【颜色】"&amp;'生成规范'!$B$10&amp;"；"&amp;'生成规范'!$B$11&amp;CHAR(10)&amp;"【输出规则】"&amp;'生成规范'!$B$12&amp;" 后处理对齐尺寸与轴点；交付用途："&amp;H194&amp;CHAR(10)&amp;"【禁止项】"&amp;'生成规范'!$B$9&amp;"；"&amp;INDEX('素材需求'!$N$8:$N$119,MATCH(B194,'素材需求'!$A$8:$A$119,0))</x:f>
        <x:v>【交付文件】nm_v2_env_service_conduit_elbow.png
【本张任务】服务管线直角转接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【单张范围】本次只画512×512的一个90度弯头，接口口径与两直段完全一致；单件独立PNG，不附其他同组部件、人物或背景。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平整蓝灰包覆管线，固定卡扣与微弱冷青标识；接口口径一致。机械手轮改小型密封电控阀盒；不得画腐蚀液、漏水、锈斑或显眼警戒条。
【参考对象】现代数据中心的封闭服务管道、整洁线槽、直角接头与小型电控阀盒，参考统一截面和紧凑安装结构。只参考结构，按本版色板绘制为二维正交侧视素材，不照搬对象的原配色、品牌或文字。
【制作规格】512×512 px；单张RGBA透明PNG，sRGB，8bit；画布外缘和非主体区域透明。；直段中轴起点；弯头接口交点；阀模块安装中心。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94" s="37" t="str">
        <x:v>本次只画512×512的一个90度弯头，接口口径与两直段完全一致；单件独立PNG，不附其他同组部件、人物或背景。</x:v>
      </x:c>
      <x:c r="F194" s="37" t="str">
        <x:f>INDEX('素材需求'!$G$8:$G$119,MATCH(B194,'素材需求'!$A$8:$A$119,0))</x:f>
        <x:v>现代数据中心的封闭服务管道、整洁线槽、直角接头与小型电控阀盒，参考统一截面和紧凑安装结构。只参考结构，按本版色板绘制为二维正交侧视素材，不照搬对象的原配色、品牌或文字。</x:v>
      </x:c>
      <x:c r="G194" s="37" t="str">
        <x:f>INDEX('素材需求'!$B$8:$B$119,MATCH(B194,'素材需求'!$A$8:$A$119,0))</x:f>
        <x:v>P0常态</x:v>
      </x:c>
      <x:c r="H194" s="37" t="str">
        <x:v>游戏拆件／贴图</x:v>
      </x:c>
      <x:c r="I194" s="37" t="str">
        <x:v>512×512 px；单张RGBA透明PNG，sRGB，8bit；画布外缘和非主体区域透明。</x:v>
      </x:c>
      <x:c r="J194" s="37" t="str">
        <x:v>art_delivery/nm_v2/environment/</x:v>
      </x:c>
      <x:c r="K194" s="45" t="str">
        <x:v>待生成</x:v>
      </x:c>
      <x:c r="L194" s="37" t="str">
        <x:v>elbow</x:v>
      </x:c>
    </x:row>
    <x:row r="195" ht="285.75" customHeight="1">
      <x:c r="A195" s="38" t="str">
        <x:f>INDEX('素材需求'!$D$8:$D$119,MATCH(B195,'素材需求'!$A$8:$A$119,0))&amp;IF(L195="","","_"&amp;L195)&amp;".png"</x:f>
        <x:v>nm_v2_env_service_conduit_valve.png</x:v>
      </x:c>
      <x:c r="B195" s="38" t="str">
        <x:v>ENV_V2_011</x:v>
      </x:c>
      <x:c r="C195" s="38" t="str">
        <x:v>紧凑电控阀模块</x:v>
      </x:c>
      <x:c r="D195" s="38" t="str">
        <x:f>"【交付文件】"&amp;A195&amp;CHAR(10)&amp;"【本张任务】"&amp;C195&amp;CHAR(10)&amp;'生成规范'!$B$8&amp;CHAR(10)&amp;"【单张范围】"&amp;E195&amp;CHAR(10)&amp;"【本组造型约束】"&amp;INDEX('素材需求'!$F$8:$F$119,MATCH(B195,'素材需求'!$A$8:$A$119,0))&amp;CHAR(10)&amp;"【参考对象】"&amp;F195&amp;CHAR(10)&amp;"【制作规格】"&amp;I195&amp;"；"&amp;INDEX('素材需求'!$M$8:$M$119,MATCH(B195,'素材需求'!$A$8:$A$119,0))&amp;CHAR(10)&amp;"【颜色】"&amp;'生成规范'!$B$10&amp;"；"&amp;'生成规范'!$B$11&amp;CHAR(10)&amp;"【输出规则】"&amp;'生成规范'!$B$12&amp;" 后处理对齐尺寸与轴点；交付用途："&amp;H195&amp;CHAR(10)&amp;"【禁止项】"&amp;'生成规范'!$B$9&amp;"；"&amp;INDEX('素材需求'!$N$8:$N$119,MATCH(B195,'素材需求'!$A$8:$A$119,0))</x:f>
        <x:v>【交付文件】nm_v2_env_service_conduit_valve.png
【本张任务】紧凑电控阀模块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【单张范围】本次只画512×512的一个密封蓝灰电控阀小盒，单条无数值指示槽，不画旧式手轮；单件独立PNG，不附其他同组部件、人物或背景。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平整蓝灰包覆管线，固定卡扣与微弱冷青标识；接口口径一致。机械手轮改小型密封电控阀盒；不得画腐蚀液、漏水、锈斑或显眼警戒条。
【参考对象】现代数据中心的封闭服务管道、整洁线槽、直角接头与小型电控阀盒，参考统一截面和紧凑安装结构。只参考结构，按本版色板绘制为二维正交侧视素材，不照搬对象的原配色、品牌或文字。
【制作规格】512×512 px；单张RGBA透明PNG，sRGB，8bit；画布外缘和非主体区域透明。；直段中轴起点；弯头接口交点；阀模块安装中心。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95" s="38" t="str">
        <x:v>本次只画512×512的一个密封蓝灰电控阀小盒，单条无数值指示槽，不画旧式手轮；单件独立PNG，不附其他同组部件、人物或背景。</x:v>
      </x:c>
      <x:c r="F195" s="38" t="str">
        <x:f>INDEX('素材需求'!$G$8:$G$119,MATCH(B195,'素材需求'!$A$8:$A$119,0))</x:f>
        <x:v>现代数据中心的封闭服务管道、整洁线槽、直角接头与小型电控阀盒，参考统一截面和紧凑安装结构。只参考结构，按本版色板绘制为二维正交侧视素材，不照搬对象的原配色、品牌或文字。</x:v>
      </x:c>
      <x:c r="G195" s="38" t="str">
        <x:f>INDEX('素材需求'!$B$8:$B$119,MATCH(B195,'素材需求'!$A$8:$A$119,0))</x:f>
        <x:v>P0常态</x:v>
      </x:c>
      <x:c r="H195" s="38" t="str">
        <x:v>游戏拆件／贴图</x:v>
      </x:c>
      <x:c r="I195" s="38" t="str">
        <x:v>512×512 px；单张RGBA透明PNG，sRGB，8bit；画布外缘和非主体区域透明。</x:v>
      </x:c>
      <x:c r="J195" s="38" t="str">
        <x:v>art_delivery/nm_v2/environment/</x:v>
      </x:c>
      <x:c r="K195" s="45" t="str">
        <x:v>待生成</x:v>
      </x:c>
      <x:c r="L195" s="38" t="str">
        <x:v>valve</x:v>
      </x:c>
    </x:row>
    <x:row r="196" ht="285.75" customHeight="1">
      <x:c r="A196" s="37" t="str">
        <x:f>INDEX('素材需求'!$D$8:$D$119,MATCH(B196,'素材需求'!$A$8:$A$119,0))&amp;IF(L196="","","_"&amp;L196)&amp;".png"</x:f>
        <x:v>nm_v2_env_touch_console_console.png</x:v>
      </x:c>
      <x:c r="B196" s="37" t="str">
        <x:v>ENV_V2_012</x:v>
      </x:c>
      <x:c r="C196" s="37" t="str">
        <x:v>低矮触控工作台</x:v>
      </x:c>
      <x:c r="D196" s="37" t="str">
        <x:f>"【交付文件】"&amp;A196&amp;CHAR(10)&amp;"【本张任务】"&amp;C196&amp;CHAR(10)&amp;'生成规范'!$B$8&amp;CHAR(10)&amp;"【单张范围】"&amp;E196&amp;CHAR(10)&amp;"【本组造型约束】"&amp;INDEX('素材需求'!$F$8:$F$119,MATCH(B196,'素材需求'!$A$8:$A$119,0))&amp;CHAR(10)&amp;"【参考对象】"&amp;F196&amp;CHAR(10)&amp;"【制作规格】"&amp;I196&amp;"；"&amp;INDEX('素材需求'!$M$8:$M$119,MATCH(B196,'素材需求'!$A$8:$A$119,0))&amp;CHAR(10)&amp;"【颜色】"&amp;'生成规范'!$B$10&amp;"；"&amp;'生成规范'!$B$11&amp;CHAR(10)&amp;"【输出规则】"&amp;'生成规范'!$B$12&amp;" 后处理对齐尺寸与轴点；交付用途："&amp;H196&amp;CHAR(10)&amp;"【禁止项】"&amp;'生成规范'!$B$9&amp;"；"&amp;INDEX('素材需求'!$N$8:$N$119,MATCH(B196,'素材需求'!$A$8:$A$119,0))</x:f>
        <x:v>【交付文件】nm_v2_env_touch_console_console.png
【本张任务】低矮触控工作台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【单张范围】本次只画1024×512的一台现代薄屏触控台，支脚与底座完整，屏幕不含可读数据；单件独立PNG，不附其他同组部件、人物或背景。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单个低矮现代工作台，薄斜面触屏、金属底座与简洁操作区；屏幕保持可覆盖的净空底，真实工作进度另绘。台面不能遮住站位员工上身或武器。
【参考对象】现代调度中心的低矮触控工作台、内容管理工作站与薄斜面操作屏，参考适合站姿操作的台面比例。只参考结构，按本版色板绘制为二维正交侧视素材，不照搬对象的原配色、品牌或文字。
【制作规格】1024×512 px；单张RGBA透明PNG，sRGB，8bit；画布外缘和非主体区域透明。；底座落地线中点。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96" s="37" t="str">
        <x:v>本次只画1024×512的一台现代薄屏触控台，支脚与底座完整，屏幕不含可读数据；单件独立PNG，不附其他同组部件、人物或背景。</x:v>
      </x:c>
      <x:c r="F196" s="37" t="str">
        <x:f>INDEX('素材需求'!$G$8:$G$119,MATCH(B196,'素材需求'!$A$8:$A$119,0))</x:f>
        <x:v>现代调度中心的低矮触控工作台、内容管理工作站与薄斜面操作屏，参考适合站姿操作的台面比例。只参考结构，按本版色板绘制为二维正交侧视素材，不照搬对象的原配色、品牌或文字。</x:v>
      </x:c>
      <x:c r="G196" s="37" t="str">
        <x:f>INDEX('素材需求'!$B$8:$B$119,MATCH(B196,'素材需求'!$A$8:$A$119,0))</x:f>
        <x:v>P0常态</x:v>
      </x:c>
      <x:c r="H196" s="37" t="str">
        <x:v>游戏拆件／贴图</x:v>
      </x:c>
      <x:c r="I196" s="37" t="str">
        <x:v>1024×512 px；单张RGBA透明PNG，sRGB，8bit；画布外缘和非主体区域透明。</x:v>
      </x:c>
      <x:c r="J196" s="37" t="str">
        <x:v>art_delivery/nm_v2/environment/</x:v>
      </x:c>
      <x:c r="K196" s="45" t="str">
        <x:v>待生成</x:v>
      </x:c>
      <x:c r="L196" s="37" t="str">
        <x:v>console</x:v>
      </x:c>
    </x:row>
    <x:row r="197" ht="285.75" customHeight="1">
      <x:c r="A197" s="38" t="str">
        <x:f>INDEX('素材需求'!$D$8:$D$119,MATCH(B197,'素材需求'!$A$8:$A$119,0))&amp;IF(L197="","","_"&amp;L197)&amp;".png"</x:f>
        <x:v>nm_v2_env_flat_wall_display_housing.png</x:v>
      </x:c>
      <x:c r="B197" s="38" t="str">
        <x:v>ENV_V2_013</x:v>
      </x:c>
      <x:c r="C197" s="38" t="str">
        <x:v>平板监测屏机壳</x:v>
      </x:c>
      <x:c r="D197" s="38" t="str">
        <x:f>"【交付文件】"&amp;A197&amp;CHAR(10)&amp;"【本张任务】"&amp;C197&amp;CHAR(10)&amp;'生成规范'!$B$8&amp;CHAR(10)&amp;"【单张范围】"&amp;E197&amp;CHAR(10)&amp;"【本组造型约束】"&amp;INDEX('素材需求'!$F$8:$F$119,MATCH(B197,'素材需求'!$A$8:$A$119,0))&amp;CHAR(10)&amp;"【参考对象】"&amp;F197&amp;CHAR(10)&amp;"【制作规格】"&amp;I197&amp;"；"&amp;INDEX('素材需求'!$M$8:$M$119,MATCH(B197,'素材需求'!$A$8:$A$119,0))&amp;CHAR(10)&amp;"【颜色】"&amp;'生成规范'!$B$10&amp;"；"&amp;'生成规范'!$B$11&amp;CHAR(10)&amp;"【输出规则】"&amp;'生成规范'!$B$12&amp;" 后处理对齐尺寸与轴点；交付用途："&amp;H197&amp;CHAR(10)&amp;"【禁止项】"&amp;'生成规范'!$B$9&amp;"；"&amp;INDEX('素材需求'!$N$8:$N$119,MATCH(B197,'素材需求'!$A$8:$A$119,0))</x:f>
        <x:v>【交付文件】nm_v2_env_flat_wall_display_housing.png
【本张任务】平板监测屏机壳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【单张范围】本次只画1024×768的一块窄边框平板屏外壳，内口透明，不画旋钮或屏幕；单件独立PNG，不附其他同组部件、人物或背景。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超薄墙挂平板屏，细金属边框，暗蓝灰空白显示区；干净平面玻璃，不画厚背壳/旋钮/CRT凸面。常态屏可由运行时叠内容，P1污染为另层。
【参考对象】现代中控室墙挂平板监测屏、薄边玻璃显示器，参考窄边框和独立显示面的配准，不参考厚CRT电视。只参考结构，按本版色板绘制为二维正交侧视素材，不照搬对象的原配色、品牌或文字。
【制作规格】1024×768 px；单张RGBA透明PNG，sRGB，8bit；画布外缘和非主体区域透明。；同画布左上；记录有效显示区矩形，2层配准。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97" s="38" t="str">
        <x:v>本次只画1024×768的一块窄边框平板屏外壳，内口透明，不画旋钮或屏幕；单件独立PNG，不附其他同组部件、人物或背景。</x:v>
      </x:c>
      <x:c r="F197" s="38" t="str">
        <x:f>INDEX('素材需求'!$G$8:$G$119,MATCH(B197,'素材需求'!$A$8:$A$119,0))</x:f>
        <x:v>现代中控室墙挂平板监测屏、薄边玻璃显示器，参考窄边框和独立显示面的配准，不参考厚CRT电视。只参考结构，按本版色板绘制为二维正交侧视素材，不照搬对象的原配色、品牌或文字。</x:v>
      </x:c>
      <x:c r="G197" s="38" t="str">
        <x:f>INDEX('素材需求'!$B$8:$B$119,MATCH(B197,'素材需求'!$A$8:$A$119,0))</x:f>
        <x:v>P0常态</x:v>
      </x:c>
      <x:c r="H197" s="38" t="str">
        <x:v>游戏拆件／贴图</x:v>
      </x:c>
      <x:c r="I197" s="38" t="str">
        <x:v>1024×768 px；单张RGBA透明PNG，sRGB，8bit；画布外缘和非主体区域透明。</x:v>
      </x:c>
      <x:c r="J197" s="38" t="str">
        <x:v>art_delivery/nm_v2/environment/</x:v>
      </x:c>
      <x:c r="K197" s="45" t="str">
        <x:v>待生成</x:v>
      </x:c>
      <x:c r="L197" s="38" t="str">
        <x:v>housing</x:v>
      </x:c>
    </x:row>
    <x:row r="198" ht="285.75" customHeight="1">
      <x:c r="A198" s="37" t="str">
        <x:f>INDEX('素材需求'!$D$8:$D$119,MATCH(B198,'素材需求'!$A$8:$A$119,0))&amp;IF(L198="","","_"&amp;L198)&amp;".png"</x:f>
        <x:v>nm_v2_env_flat_wall_display_blank_screen.png</x:v>
      </x:c>
      <x:c r="B198" s="37" t="str">
        <x:v>ENV_V2_013</x:v>
      </x:c>
      <x:c r="C198" s="37" t="str">
        <x:v>平板空白显示底</x:v>
      </x:c>
      <x:c r="D198" s="37" t="str">
        <x:f>"【交付文件】"&amp;A198&amp;CHAR(10)&amp;"【本张任务】"&amp;C198&amp;CHAR(10)&amp;'生成规范'!$B$8&amp;CHAR(10)&amp;"【单张范围】"&amp;E198&amp;CHAR(10)&amp;"【本组造型约束】"&amp;INDEX('素材需求'!$F$8:$F$119,MATCH(B198,'素材需求'!$A$8:$A$119,0))&amp;CHAR(10)&amp;"【参考对象】"&amp;F198&amp;CHAR(10)&amp;"【制作规格】"&amp;I198&amp;"；"&amp;INDEX('素材需求'!$M$8:$M$119,MATCH(B198,'素材需求'!$A$8:$A$119,0))&amp;CHAR(10)&amp;"【颜色】"&amp;'生成规范'!$B$10&amp;"；"&amp;'生成规范'!$B$11&amp;CHAR(10)&amp;"【输出规则】"&amp;'生成规范'!$B$12&amp;" 后处理对齐尺寸与轴点；交付用途："&amp;H198&amp;CHAR(10)&amp;"【禁止项】"&amp;'生成规范'!$B$9&amp;"；"&amp;INDEX('素材需求'!$N$8:$N$119,MATCH(B198,'素材需求'!$A$8:$A$119,0))</x:f>
        <x:v>【交付文件】nm_v2_env_flat_wall_display_blank_screen.png
【本张任务】平板空白显示底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【单张范围】本次只画1024×768对应内口的暗蓝灰空白屏面，四周透明，轻微边缘反光；单件独立PNG，不附其他同组部件、人物或背景。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超薄墙挂平板屏，细金属边框，暗蓝灰空白显示区；干净平面玻璃，不画厚背壳/旋钮/CRT凸面。常态屏可由运行时叠内容，P1污染为另层。
【参考对象】现代中控室墙挂平板监测屏、薄边玻璃显示器，参考窄边框和独立显示面的配准，不参考厚CRT电视。只参考结构，按本版色板绘制为二维正交侧视素材，不照搬对象的原配色、品牌或文字。
【制作规格】1024×768 px；单张RGBA透明PNG，sRGB，8bit；画布外缘和非主体区域透明。；同画布左上；记录有效显示区矩形，2层配准。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98" s="37" t="str">
        <x:v>本次只画1024×768对应内口的暗蓝灰空白屏面，四周透明，轻微边缘反光；单件独立PNG，不附其他同组部件、人物或背景。</x:v>
      </x:c>
      <x:c r="F198" s="37" t="str">
        <x:f>INDEX('素材需求'!$G$8:$G$119,MATCH(B198,'素材需求'!$A$8:$A$119,0))</x:f>
        <x:v>现代中控室墙挂平板监测屏、薄边玻璃显示器，参考窄边框和独立显示面的配准，不参考厚CRT电视。只参考结构，按本版色板绘制为二维正交侧视素材，不照搬对象的原配色、品牌或文字。</x:v>
      </x:c>
      <x:c r="G198" s="37" t="str">
        <x:f>INDEX('素材需求'!$B$8:$B$119,MATCH(B198,'素材需求'!$A$8:$A$119,0))</x:f>
        <x:v>P0常态</x:v>
      </x:c>
      <x:c r="H198" s="37" t="str">
        <x:v>游戏拆件／贴图</x:v>
      </x:c>
      <x:c r="I198" s="37" t="str">
        <x:v>1024×768 px；单张RGBA透明PNG，sRGB，8bit；画布外缘和非主体区域透明。</x:v>
      </x:c>
      <x:c r="J198" s="37" t="str">
        <x:v>art_delivery/nm_v2/environment/</x:v>
      </x:c>
      <x:c r="K198" s="45" t="str">
        <x:v>待生成</x:v>
      </x:c>
      <x:c r="L198" s="37" t="str">
        <x:v>blank_screen</x:v>
      </x:c>
    </x:row>
    <x:row r="199" ht="285.75" customHeight="1">
      <x:c r="A199" s="38" t="str">
        <x:f>INDEX('素材需求'!$D$8:$D$119,MATCH(B199,'素材需求'!$A$8:$A$119,0))&amp;IF(L199="","","_"&amp;L199)&amp;".png"</x:f>
        <x:v>nm_v2_env_status_panel_housing.png</x:v>
      </x:c>
      <x:c r="B199" s="38" t="str">
        <x:v>ENV_V2_014</x:v>
      </x:c>
      <x:c r="C199" s="38" t="str">
        <x:v>数字状态面板底壳</x:v>
      </x:c>
      <x:c r="D199" s="38" t="str">
        <x:f>"【交付文件】"&amp;A199&amp;CHAR(10)&amp;"【本张任务】"&amp;C199&amp;CHAR(10)&amp;'生成规范'!$B$8&amp;CHAR(10)&amp;"【单张范围】"&amp;E199&amp;CHAR(10)&amp;"【本组造型约束】"&amp;INDEX('素材需求'!$F$8:$F$119,MATCH(B199,'素材需求'!$A$8:$A$119,0))&amp;CHAR(10)&amp;"【参考对象】"&amp;F199&amp;CHAR(10)&amp;"【制作规格】"&amp;I199&amp;"；"&amp;INDEX('素材需求'!$M$8:$M$119,MATCH(B199,'素材需求'!$A$8:$A$119,0))&amp;CHAR(10)&amp;"【颜色】"&amp;'生成规范'!$B$10&amp;"；"&amp;'生成规范'!$B$11&amp;CHAR(10)&amp;"【输出规则】"&amp;'生成规范'!$B$12&amp;" 后处理对齐尺寸与轴点；交付用途："&amp;H199&amp;CHAR(10)&amp;"【禁止项】"&amp;'生成规范'!$B$9&amp;"；"&amp;INDEX('素材需求'!$N$8:$N$119,MATCH(B199,'素材需求'!$A$8:$A$119,0))</x:f>
        <x:v>【交付文件】nm_v2_env_status_panel_housing.png
【本张任务】数字状态面板底壳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【单张范围】本次只画512×512的一块小型方圆角玻璃状态面板壳体，留干净显示区，不画数据；单件独立PNG，不附其他同组部件、人物或背景。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小型方圆角数字状态面板，玻璃黑底和冷青短指示槽；不预印数字、不画模拟表盘和指针。指示层为单一静态中性光段，真实状态及数值必须后加。
【参考对象】现代实验室小型数字状态屏、圆角设备监测面板与简洁指示光槽，参考壳体、净空显示区和独立光段。只参考结构，按本版色板绘制为二维正交侧视素材，不照搬对象的原配色、品牌或文字。
【制作规格】512×512 px；单张RGBA透明PNG，sRGB，8bit；画布外缘和非主体区域透明。；2层画布中心配准；可用显示区矩形写入交付说明。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199" s="38" t="str">
        <x:v>本次只画512×512的一块小型方圆角玻璃状态面板壳体，留干净显示区，不画数据；单件独立PNG，不附其他同组部件、人物或背景。</x:v>
      </x:c>
      <x:c r="F199" s="38" t="str">
        <x:f>INDEX('素材需求'!$G$8:$G$119,MATCH(B199,'素材需求'!$A$8:$A$119,0))</x:f>
        <x:v>现代实验室小型数字状态屏、圆角设备监测面板与简洁指示光槽，参考壳体、净空显示区和独立光段。只参考结构，按本版色板绘制为二维正交侧视素材，不照搬对象的原配色、品牌或文字。</x:v>
      </x:c>
      <x:c r="G199" s="38" t="str">
        <x:f>INDEX('素材需求'!$B$8:$B$119,MATCH(B199,'素材需求'!$A$8:$A$119,0))</x:f>
        <x:v>P0常态</x:v>
      </x:c>
      <x:c r="H199" s="38" t="str">
        <x:v>游戏拆件／贴图</x:v>
      </x:c>
      <x:c r="I199" s="38" t="str">
        <x:v>512×512 px；单张RGBA透明PNG，sRGB，8bit；画布外缘和非主体区域透明。</x:v>
      </x:c>
      <x:c r="J199" s="38" t="str">
        <x:v>art_delivery/nm_v2/environment/</x:v>
      </x:c>
      <x:c r="K199" s="45" t="str">
        <x:v>待生成</x:v>
      </x:c>
      <x:c r="L199" s="38" t="str">
        <x:v>housing</x:v>
      </x:c>
    </x:row>
    <x:row r="200" ht="285.75" customHeight="1">
      <x:c r="A200" s="37" t="str">
        <x:f>INDEX('素材需求'!$D$8:$D$119,MATCH(B200,'素材需求'!$A$8:$A$119,0))&amp;IF(L200="","","_"&amp;L200)&amp;".png"</x:f>
        <x:v>nm_v2_env_status_panel_status_strip.png</x:v>
      </x:c>
      <x:c r="B200" s="37" t="str">
        <x:v>ENV_V2_014</x:v>
      </x:c>
      <x:c r="C200" s="37" t="str">
        <x:v>中性状态光段</x:v>
      </x:c>
      <x:c r="D200" s="37" t="str">
        <x:f>"【交付文件】"&amp;A200&amp;CHAR(10)&amp;"【本张任务】"&amp;C200&amp;CHAR(10)&amp;'生成规范'!$B$8&amp;CHAR(10)&amp;"【单张范围】"&amp;E200&amp;CHAR(10)&amp;"【本组造型约束】"&amp;INDEX('素材需求'!$F$8:$F$119,MATCH(B200,'素材需求'!$A$8:$A$119,0))&amp;CHAR(10)&amp;"【参考对象】"&amp;F200&amp;CHAR(10)&amp;"【制作规格】"&amp;I200&amp;"；"&amp;INDEX('素材需求'!$M$8:$M$119,MATCH(B200,'素材需求'!$A$8:$A$119,0))&amp;CHAR(10)&amp;"【颜色】"&amp;'生成规范'!$B$10&amp;"；"&amp;'生成规范'!$B$11&amp;CHAR(10)&amp;"【输出规则】"&amp;'生成规范'!$B$12&amp;" 后处理对齐尺寸与轴点；交付用途："&amp;H200&amp;CHAR(10)&amp;"【禁止项】"&amp;'生成规范'!$B$9&amp;"；"&amp;INDEX('素材需求'!$N$8:$N$119,MATCH(B200,'素材需求'!$A$8:$A$119,0))</x:f>
        <x:v>【交付文件】nm_v2_env_status_panel_status_strip.png
【本张任务】中性状态光段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【单张范围】本次只画512×512配准画布内一条窄冷青指示光段，单一静态亮度，不画百分比或仪表；单件独立PNG，不附其他同组部件、人物或背景。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小型方圆角数字状态面板，玻璃黑底和冷青短指示槽；不预印数字、不画模拟表盘和指针。指示层为单一静态中性光段，真实状态及数值必须后加。
【参考对象】现代实验室小型数字状态屏、圆角设备监测面板与简洁指示光槽，参考壳体、净空显示区和独立光段。只参考结构，按本版色板绘制为二维正交侧视素材，不照搬对象的原配色、品牌或文字。
【制作规格】512×512 px；单张RGBA透明PNG，sRGB，8bit；画布外缘和非主体区域透明。；2层画布中心配准；可用显示区矩形写入交付说明。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00" s="37" t="str">
        <x:v>本次只画512×512配准画布内一条窄冷青指示光段，单一静态亮度，不画百分比或仪表；单件独立PNG，不附其他同组部件、人物或背景。</x:v>
      </x:c>
      <x:c r="F200" s="37" t="str">
        <x:f>INDEX('素材需求'!$G$8:$G$119,MATCH(B200,'素材需求'!$A$8:$A$119,0))</x:f>
        <x:v>现代实验室小型数字状态屏、圆角设备监测面板与简洁指示光槽，参考壳体、净空显示区和独立光段。只参考结构，按本版色板绘制为二维正交侧视素材，不照搬对象的原配色、品牌或文字。</x:v>
      </x:c>
      <x:c r="G200" s="37" t="str">
        <x:f>INDEX('素材需求'!$B$8:$B$119,MATCH(B200,'素材需求'!$A$8:$A$119,0))</x:f>
        <x:v>P0常态</x:v>
      </x:c>
      <x:c r="H200" s="37" t="str">
        <x:v>游戏拆件／贴图</x:v>
      </x:c>
      <x:c r="I200" s="37" t="str">
        <x:v>512×512 px；单张RGBA透明PNG，sRGB，8bit；画布外缘和非主体区域透明。</x:v>
      </x:c>
      <x:c r="J200" s="37" t="str">
        <x:v>art_delivery/nm_v2/environment/</x:v>
      </x:c>
      <x:c r="K200" s="45" t="str">
        <x:v>待生成</x:v>
      </x:c>
      <x:c r="L200" s="37" t="str">
        <x:v>status_strip</x:v>
      </x:c>
    </x:row>
    <x:row r="201" ht="271.5" customHeight="1">
      <x:c r="A201" s="38" t="str">
        <x:f>INDEX('素材需求'!$D$8:$D$119,MATCH(B201,'素材需求'!$A$8:$A$119,0))&amp;IF(L201="","","_"&amp;L201)&amp;".png"</x:f>
        <x:v>nm_v2_env_hall_support_column.png</x:v>
      </x:c>
      <x:c r="B201" s="38" t="str">
        <x:v>ENV_V2_015</x:v>
      </x:c>
      <x:c r="C201" s="38" t="str">
        <x:v>大厅背景支柱</x:v>
      </x:c>
      <x:c r="D201" s="38" t="str">
        <x:f>"【交付文件】"&amp;A201&amp;CHAR(10)&amp;"【本张任务】"&amp;C201&amp;CHAR(10)&amp;'生成规范'!$B$8&amp;CHAR(10)&amp;"【单张范围】"&amp;E201&amp;CHAR(10)&amp;"【本组造型约束】"&amp;INDEX('素材需求'!$F$8:$F$119,MATCH(B201,'素材需求'!$A$8:$A$119,0))&amp;CHAR(10)&amp;"【参考对象】"&amp;F201&amp;CHAR(10)&amp;"【制作规格】"&amp;I201&amp;"；"&amp;INDEX('素材需求'!$M$8:$M$119,MATCH(B201,'素材需求'!$A$8:$A$119,0))&amp;CHAR(10)&amp;"【颜色】"&amp;'生成规范'!$B$10&amp;"；"&amp;'生成规范'!$B$11&amp;CHAR(10)&amp;"【输出规则】"&amp;'生成规范'!$B$12&amp;" 后处理对齐尺寸与轴点；交付用途："&amp;H201&amp;CHAR(10)&amp;"【禁止项】"&amp;'生成规范'!$B$9&amp;"；"&amp;INDEX('素材需求'!$N$8:$N$119,MATCH(B201,'素材需求'!$A$8:$A$119,0))</x:f>
        <x:v>【交付文件】nm_v2_env_hall_support_column.png
【本张任务】大厅背景支柱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【单张范围】本次只画512×1024的一根现代背景壁柱，干净金属与简洁连接扣，不画横梁；单件独立PNG，不附其他同组部件、人物或背景。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干净蓝灰结构柱、细玻璃连接扣和低对比顶部横构，结构稳定平直；用于拉开部门大堂层次。置于人物后方，不能画成阻拦真实路线的密闭框或狱栏。
【参考对象】现代科研楼中庭的金属壁柱、玻璃连接扣与顶部横向构件，参考稳定平直的背景承重骨架。只参考结构，按本版色板绘制为二维正交侧视素材，不照搬对象的原配色、品牌或文字。
【制作规格】512×1024 px；单张RGBA透明PNG，sRGB，8bit；画布外缘和非主体区域透明。；壁柱底部中轴；横构左安装端。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01" s="38" t="str">
        <x:v>本次只画512×1024的一根现代背景壁柱，干净金属与简洁连接扣，不画横梁；单件独立PNG，不附其他同组部件、人物或背景。</x:v>
      </x:c>
      <x:c r="F201" s="38" t="str">
        <x:f>INDEX('素材需求'!$G$8:$G$119,MATCH(B201,'素材需求'!$A$8:$A$119,0))</x:f>
        <x:v>现代科研楼中庭的金属壁柱、玻璃连接扣与顶部横向构件，参考稳定平直的背景承重骨架。只参考结构，按本版色板绘制为二维正交侧视素材，不照搬对象的原配色、品牌或文字。</x:v>
      </x:c>
      <x:c r="G201" s="38" t="str">
        <x:f>INDEX('素材需求'!$B$8:$B$119,MATCH(B201,'素材需求'!$A$8:$A$119,0))</x:f>
        <x:v>P0常态</x:v>
      </x:c>
      <x:c r="H201" s="38" t="str">
        <x:v>游戏拆件／贴图</x:v>
      </x:c>
      <x:c r="I201" s="38" t="str">
        <x:v>512×1024 px；单张RGBA透明PNG，sRGB，8bit；画布外缘和非主体区域透明。</x:v>
      </x:c>
      <x:c r="J201" s="38" t="str">
        <x:v>art_delivery/nm_v2/environment/</x:v>
      </x:c>
      <x:c r="K201" s="45" t="str">
        <x:v>待生成</x:v>
      </x:c>
      <x:c r="L201" s="38" t="str">
        <x:v>column</x:v>
      </x:c>
    </x:row>
    <x:row r="202" ht="271.5" customHeight="1">
      <x:c r="A202" s="37" t="str">
        <x:f>INDEX('素材需求'!$D$8:$D$119,MATCH(B202,'素材需求'!$A$8:$A$119,0))&amp;IF(L202="","","_"&amp;L202)&amp;".png"</x:f>
        <x:v>nm_v2_env_hall_support_beam.png</x:v>
      </x:c>
      <x:c r="B202" s="37" t="str">
        <x:v>ENV_V2_015</x:v>
      </x:c>
      <x:c r="C202" s="37" t="str">
        <x:v>大厅顶部横构</x:v>
      </x:c>
      <x:c r="D202" s="37" t="str">
        <x:f>"【交付文件】"&amp;A202&amp;CHAR(10)&amp;"【本张任务】"&amp;C202&amp;CHAR(10)&amp;'生成规范'!$B$8&amp;CHAR(10)&amp;"【单张范围】"&amp;E202&amp;CHAR(10)&amp;"【本组造型约束】"&amp;INDEX('素材需求'!$F$8:$F$119,MATCH(B202,'素材需求'!$A$8:$A$119,0))&amp;CHAR(10)&amp;"【参考对象】"&amp;F202&amp;CHAR(10)&amp;"【制作规格】"&amp;I202&amp;"；"&amp;INDEX('素材需求'!$M$8:$M$119,MATCH(B202,'素材需求'!$A$8:$A$119,0))&amp;CHAR(10)&amp;"【颜色】"&amp;'生成规范'!$B$10&amp;"；"&amp;'生成规范'!$B$11&amp;CHAR(10)&amp;"【输出规则】"&amp;'生成规范'!$B$12&amp;" 后处理对齐尺寸与轴点；交付用途："&amp;H202&amp;CHAR(10)&amp;"【禁止项】"&amp;'生成规范'!$B$9&amp;"；"&amp;INDEX('素材需求'!$N$8:$N$119,MATCH(B202,'素材需求'!$A$8:$A$119,0))</x:f>
        <x:v>【交付文件】nm_v2_env_hall_support_beam.png
【本张任务】大厅顶部横构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【单张范围】本次只画1024×256的一条低对比顶部横构，左右安装端清楚，不画立柱；单件独立PNG，不附其他同组部件、人物或背景。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干净蓝灰结构柱、细玻璃连接扣和低对比顶部横构，结构稳定平直；用于拉开部门大堂层次。置于人物后方，不能画成阻拦真实路线的密闭框或狱栏。
【参考对象】现代科研楼中庭的金属壁柱、玻璃连接扣与顶部横向构件，参考稳定平直的背景承重骨架。只参考结构，按本版色板绘制为二维正交侧视素材，不照搬对象的原配色、品牌或文字。
【制作规格】1024×256 px；单张RGBA透明PNG，sRGB，8bit；画布外缘和非主体区域透明。；壁柱底部中轴；横构左安装端。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02" s="37" t="str">
        <x:v>本次只画1024×256的一条低对比顶部横构，左右安装端清楚，不画立柱；单件独立PNG，不附其他同组部件、人物或背景。</x:v>
      </x:c>
      <x:c r="F202" s="37" t="str">
        <x:f>INDEX('素材需求'!$G$8:$G$119,MATCH(B202,'素材需求'!$A$8:$A$119,0))</x:f>
        <x:v>现代科研楼中庭的金属壁柱、玻璃连接扣与顶部横向构件，参考稳定平直的背景承重骨架。只参考结构，按本版色板绘制为二维正交侧视素材，不照搬对象的原配色、品牌或文字。</x:v>
      </x:c>
      <x:c r="G202" s="37" t="str">
        <x:f>INDEX('素材需求'!$B$8:$B$119,MATCH(B202,'素材需求'!$A$8:$A$119,0))</x:f>
        <x:v>P0常态</x:v>
      </x:c>
      <x:c r="H202" s="37" t="str">
        <x:v>游戏拆件／贴图</x:v>
      </x:c>
      <x:c r="I202" s="37" t="str">
        <x:v>1024×256 px；单张RGBA透明PNG，sRGB，8bit；画布外缘和非主体区域透明。</x:v>
      </x:c>
      <x:c r="J202" s="37" t="str">
        <x:v>art_delivery/nm_v2/environment/</x:v>
      </x:c>
      <x:c r="K202" s="45" t="str">
        <x:v>待生成</x:v>
      </x:c>
      <x:c r="L202" s="37" t="str">
        <x:v>beam</x:v>
      </x:c>
    </x:row>
    <x:row r="203" ht="271.5" customHeight="1">
      <x:c r="A203" s="38" t="str">
        <x:f>INDEX('素材需求'!$D$8:$D$119,MATCH(B203,'素材需求'!$A$8:$A$119,0))&amp;IF(L203="","","_"&amp;L203)&amp;".png"</x:f>
        <x:v>nm_v2_env_waiting_bench_bench.png</x:v>
      </x:c>
      <x:c r="B203" s="38" t="str">
        <x:v>ENV_V2_016</x:v>
      </x:c>
      <x:c r="C203" s="38" t="str">
        <x:v>灰蓝软垫连座椅</x:v>
      </x:c>
      <x:c r="D203" s="38" t="str">
        <x:f>"【交付文件】"&amp;A203&amp;CHAR(10)&amp;"【本张任务】"&amp;C203&amp;CHAR(10)&amp;'生成规范'!$B$8&amp;CHAR(10)&amp;"【单张范围】"&amp;E203&amp;CHAR(10)&amp;"【本组造型约束】"&amp;INDEX('素材需求'!$F$8:$F$119,MATCH(B203,'素材需求'!$A$8:$A$119,0))&amp;CHAR(10)&amp;"【参考对象】"&amp;F203&amp;CHAR(10)&amp;"【制作规格】"&amp;I203&amp;"；"&amp;INDEX('素材需求'!$M$8:$M$119,MATCH(B203,'素材需求'!$A$8:$A$119,0))&amp;CHAR(10)&amp;"【颜色】"&amp;'生成规范'!$B$10&amp;"；"&amp;'生成规范'!$B$11&amp;CHAR(10)&amp;"【输出规则】"&amp;'生成规范'!$B$12&amp;" 后处理对齐尺寸与轴点；交付用途："&amp;H203&amp;CHAR(10)&amp;"【禁止项】"&amp;'生成规范'!$B$9&amp;"；"&amp;INDEX('素材需求'!$N$8:$N$119,MATCH(B203,'素材需求'!$A$8:$A$119,0))</x:f>
        <x:v>【交付文件】nm_v2_env_waiting_bench_bench.png
【本张任务】灰蓝软垫连座椅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【单张范围】本次只画1024×512的一张现代两至三人连座长椅，低靠背、浅灰蓝软垫、完整支脚；单件独立PNG，不附其他同组部件、人物或背景。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灰蓝软垫、简洁金属连座骨架，舒服且专业；非旧木铁椅、非牢房凳。低矮背靠不挡员工；不含座位上的人。
【参考对象】现代医院等候区的浅灰蓝软垫连座椅、简洁金属支脚和低靠背，参考舒适而专业的家具比例。只参考结构，按本版色板绘制为二维正交侧视素材，不照搬对象的原配色、品牌或文字。
【制作规格】1024×512 px；单张RGBA透明PNG，sRGB，8bit；画布外缘和非主体区域透明。；两脚落地线中点。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03" s="38" t="str">
        <x:v>本次只画1024×512的一张现代两至三人连座长椅，低靠背、浅灰蓝软垫、完整支脚；单件独立PNG，不附其他同组部件、人物或背景。</x:v>
      </x:c>
      <x:c r="F203" s="38" t="str">
        <x:f>INDEX('素材需求'!$G$8:$G$119,MATCH(B203,'素材需求'!$A$8:$A$119,0))</x:f>
        <x:v>现代医院等候区的浅灰蓝软垫连座椅、简洁金属支脚和低靠背，参考舒适而专业的家具比例。只参考结构，按本版色板绘制为二维正交侧视素材，不照搬对象的原配色、品牌或文字。</x:v>
      </x:c>
      <x:c r="G203" s="38" t="str">
        <x:f>INDEX('素材需求'!$B$8:$B$119,MATCH(B203,'素材需求'!$A$8:$A$119,0))</x:f>
        <x:v>P0常态</x:v>
      </x:c>
      <x:c r="H203" s="38" t="str">
        <x:v>游戏拆件／贴图</x:v>
      </x:c>
      <x:c r="I203" s="38" t="str">
        <x:v>1024×512 px；单张RGBA透明PNG，sRGB，8bit；画布外缘和非主体区域透明。</x:v>
      </x:c>
      <x:c r="J203" s="38" t="str">
        <x:v>art_delivery/nm_v2/environment/</x:v>
      </x:c>
      <x:c r="K203" s="45" t="str">
        <x:v>待生成</x:v>
      </x:c>
      <x:c r="L203" s="38" t="str">
        <x:v>bench</x:v>
      </x:c>
    </x:row>
    <x:row r="204" ht="271.5" customHeight="1">
      <x:c r="A204" s="37" t="str">
        <x:f>INDEX('素材需求'!$D$8:$D$119,MATCH(B204,'素材需求'!$A$8:$A$119,0))&amp;IF(L204="","","_"&amp;L204)&amp;".png"</x:f>
        <x:v>nm_v2_env_recovery_couch_bed_frame_mattress.png</x:v>
      </x:c>
      <x:c r="B204" s="37" t="str">
        <x:v>ENV_V2_017</x:v>
      </x:c>
      <x:c r="C204" s="37" t="str">
        <x:v>医疗床架与床垫</x:v>
      </x:c>
      <x:c r="D204" s="37" t="str">
        <x:f>"【交付文件】"&amp;A204&amp;CHAR(10)&amp;"【本张任务】"&amp;C204&amp;CHAR(10)&amp;'生成规范'!$B$8&amp;CHAR(10)&amp;"【单张范围】"&amp;E204&amp;CHAR(10)&amp;"【本组造型约束】"&amp;INDEX('素材需求'!$F$8:$F$119,MATCH(B204,'素材需求'!$A$8:$A$119,0))&amp;CHAR(10)&amp;"【参考对象】"&amp;F204&amp;CHAR(10)&amp;"【制作规格】"&amp;I204&amp;"；"&amp;INDEX('素材需求'!$M$8:$M$119,MATCH(B204,'素材需求'!$A$8:$A$119,0))&amp;CHAR(10)&amp;"【颜色】"&amp;'生成规范'!$B$10&amp;"；"&amp;'生成规范'!$B$11&amp;CHAR(10)&amp;"【输出规则】"&amp;'生成规范'!$B$12&amp;" 后处理对齐尺寸与轴点；交付用途："&amp;H204&amp;CHAR(10)&amp;"【禁止项】"&amp;'生成规范'!$B$9&amp;"；"&amp;INDEX('素材需求'!$N$8:$N$119,MATCH(B204,'素材需求'!$A$8:$A$119,0))</x:f>
        <x:v>【交付文件】nm_v2_env_recovery_couch_bed_frame_mattress.png
【本张任务】医疗床架与床垫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【单张范围】本次只画1024×512的一张侧视白蓝低矮医疗休整床，床架与床垫完整，不含枕头或人员；单件独立PNG，不附其他同组部件、人物或背景。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舒适现代医疗休整床，白蓝洁净床垫与圆角轻金属架，单独软枕；不画束缚、手术器械或人体。保持此区与危险区明显区分，仍是既有安全区。
【参考对象】现代门诊休整区的白蓝检查床、圆角轻金属床架、洁净薄床垫与独立软枕，参考侧视支撑结构。只参考结构，按本版色板绘制为二维正交侧视素材，不照搬对象的原配色、品牌或文字。
【制作规格】1024×512 px；单张RGBA透明PNG，sRGB，8bit；画布外缘和非主体区域透明。；床脚落地中点；枕头底边中心。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04" s="37" t="str">
        <x:v>本次只画1024×512的一张侧视白蓝低矮医疗休整床，床架与床垫完整，不含枕头或人员；单件独立PNG，不附其他同组部件、人物或背景。</x:v>
      </x:c>
      <x:c r="F204" s="37" t="str">
        <x:f>INDEX('素材需求'!$G$8:$G$119,MATCH(B204,'素材需求'!$A$8:$A$119,0))</x:f>
        <x:v>现代门诊休整区的白蓝检查床、圆角轻金属床架、洁净薄床垫与独立软枕，参考侧视支撑结构。只参考结构，按本版色板绘制为二维正交侧视素材，不照搬对象的原配色、品牌或文字。</x:v>
      </x:c>
      <x:c r="G204" s="37" t="str">
        <x:f>INDEX('素材需求'!$B$8:$B$119,MATCH(B204,'素材需求'!$A$8:$A$119,0))</x:f>
        <x:v>P0常态</x:v>
      </x:c>
      <x:c r="H204" s="37" t="str">
        <x:v>游戏拆件／贴图</x:v>
      </x:c>
      <x:c r="I204" s="37" t="str">
        <x:v>1024×512 px；单张RGBA透明PNG，sRGB，8bit；画布外缘和非主体区域透明。</x:v>
      </x:c>
      <x:c r="J204" s="37" t="str">
        <x:v>art_delivery/nm_v2/environment/</x:v>
      </x:c>
      <x:c r="K204" s="45" t="str">
        <x:v>待生成</x:v>
      </x:c>
      <x:c r="L204" s="37" t="str">
        <x:v>bed_frame_mattress</x:v>
      </x:c>
    </x:row>
    <x:row r="205" ht="271.5" customHeight="1">
      <x:c r="A205" s="38" t="str">
        <x:f>INDEX('素材需求'!$D$8:$D$119,MATCH(B205,'素材需求'!$A$8:$A$119,0))&amp;IF(L205="","","_"&amp;L205)&amp;".png"</x:f>
        <x:v>nm_v2_env_recovery_couch_pillow.png</x:v>
      </x:c>
      <x:c r="B205" s="38" t="str">
        <x:v>ENV_V2_017</x:v>
      </x:c>
      <x:c r="C205" s="38" t="str">
        <x:v>医疗独立软枕</x:v>
      </x:c>
      <x:c r="D205" s="38" t="str">
        <x:f>"【交付文件】"&amp;A205&amp;CHAR(10)&amp;"【本张任务】"&amp;C205&amp;CHAR(10)&amp;'生成规范'!$B$8&amp;CHAR(10)&amp;"【单张范围】"&amp;E205&amp;CHAR(10)&amp;"【本组造型约束】"&amp;INDEX('素材需求'!$F$8:$F$119,MATCH(B205,'素材需求'!$A$8:$A$119,0))&amp;CHAR(10)&amp;"【参考对象】"&amp;F205&amp;CHAR(10)&amp;"【制作规格】"&amp;I205&amp;"；"&amp;INDEX('素材需求'!$M$8:$M$119,MATCH(B205,'素材需求'!$A$8:$A$119,0))&amp;CHAR(10)&amp;"【颜色】"&amp;'生成规范'!$B$10&amp;"；"&amp;'生成规范'!$B$11&amp;CHAR(10)&amp;"【输出规则】"&amp;'生成规范'!$B$12&amp;" 后处理对齐尺寸与轴点；交付用途："&amp;H205&amp;CHAR(10)&amp;"【禁止项】"&amp;'生成规范'!$B$9&amp;"；"&amp;INDEX('素材需求'!$N$8:$N$119,MATCH(B205,'素材需求'!$A$8:$A$119,0))</x:f>
        <x:v>【交付文件】nm_v2_env_recovery_couch_pillow.png
【本张任务】医疗独立软枕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【单张范围】本次只画512×256的一只冷白淡蓝软枕，少量柔和褶皱，水平放置面清楚；单件独立PNG，不附其他同组部件、人物或背景。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舒适现代医疗休整床，白蓝洁净床垫与圆角轻金属架，单独软枕；不画束缚、手术器械或人体。保持此区与危险区明显区分，仍是既有安全区。
【参考对象】现代门诊休整区的白蓝检查床、圆角轻金属床架、洁净薄床垫与独立软枕，参考侧视支撑结构。只参考结构，按本版色板绘制为二维正交侧视素材，不照搬对象的原配色、品牌或文字。
【制作规格】512×256 px；单张RGBA透明PNG，sRGB，8bit；画布外缘和非主体区域透明。；床脚落地中点；枕头底边中心。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05" s="38" t="str">
        <x:v>本次只画512×256的一只冷白淡蓝软枕，少量柔和褶皱，水平放置面清楚；单件独立PNG，不附其他同组部件、人物或背景。</x:v>
      </x:c>
      <x:c r="F205" s="38" t="str">
        <x:f>INDEX('素材需求'!$G$8:$G$119,MATCH(B205,'素材需求'!$A$8:$A$119,0))</x:f>
        <x:v>现代门诊休整区的白蓝检查床、圆角轻金属床架、洁净薄床垫与独立软枕，参考侧视支撑结构。只参考结构，按本版色板绘制为二维正交侧视素材，不照搬对象的原配色、品牌或文字。</x:v>
      </x:c>
      <x:c r="G205" s="38" t="str">
        <x:f>INDEX('素材需求'!$B$8:$B$119,MATCH(B205,'素材需求'!$A$8:$A$119,0))</x:f>
        <x:v>P0常态</x:v>
      </x:c>
      <x:c r="H205" s="38" t="str">
        <x:v>游戏拆件／贴图</x:v>
      </x:c>
      <x:c r="I205" s="38" t="str">
        <x:v>512×256 px；单张RGBA透明PNG，sRGB，8bit；画布外缘和非主体区域透明。</x:v>
      </x:c>
      <x:c r="J205" s="38" t="str">
        <x:v>art_delivery/nm_v2/environment/</x:v>
      </x:c>
      <x:c r="K205" s="45" t="str">
        <x:v>待生成</x:v>
      </x:c>
      <x:c r="L205" s="38" t="str">
        <x:v>pillow</x:v>
      </x:c>
    </x:row>
    <x:row r="206" ht="285.75" customHeight="1">
      <x:c r="A206" s="37" t="str">
        <x:f>INDEX('素材需求'!$D$8:$D$119,MATCH(B206,'素材需求'!$A$8:$A$119,0))&amp;IF(L206="","","_"&amp;L206)&amp;".png"</x:f>
        <x:v>nm_v2_env_medical_station_cabinet.png</x:v>
      </x:c>
      <x:c r="B206" s="37" t="str">
        <x:v>ENV_V2_018</x:v>
      </x:c>
      <x:c r="C206" s="37" t="str">
        <x:v>白蓝医用储物柜</x:v>
      </x:c>
      <x:c r="D206" s="37" t="str">
        <x:f>"【交付文件】"&amp;A206&amp;CHAR(10)&amp;"【本张任务】"&amp;C206&amp;CHAR(10)&amp;'生成规范'!$B$8&amp;CHAR(10)&amp;"【单张范围】"&amp;E206&amp;CHAR(10)&amp;"【本组造型约束】"&amp;INDEX('素材需求'!$F$8:$F$119,MATCH(B206,'素材需求'!$A$8:$A$119,0))&amp;CHAR(10)&amp;"【参考对象】"&amp;F206&amp;CHAR(10)&amp;"【制作规格】"&amp;I206&amp;"；"&amp;INDEX('素材需求'!$M$8:$M$119,MATCH(B206,'素材需求'!$A$8:$A$119,0))&amp;CHAR(10)&amp;"【颜色】"&amp;'生成规范'!$B$10&amp;"；"&amp;'生成规范'!$B$11&amp;CHAR(10)&amp;"【输出规则】"&amp;'生成规范'!$B$12&amp;" 后处理对齐尺寸与轴点；交付用途："&amp;H206&amp;CHAR(10)&amp;"【禁止项】"&amp;'生成规范'!$B$9&amp;"；"&amp;INDEX('素材需求'!$N$8:$N$119,MATCH(B206,'素材需求'!$A$8:$A$119,0))</x:f>
        <x:v>【交付文件】nm_v2_env_medical_station_cabinet.png
【本张任务】白蓝医用储物柜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【单张范围】本次只画512×1024的一个窄高白蓝医用密闭储物柜，清楚门缝和短把手，不画药品阵列；单件独立PNG，不附其他同组部件、人物或背景。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冷白浅蓝密闭医用补给柜、薄边数字健康平板；以通用无品牌医疗标识和小色条辨识，平板无病历文字。既有纸质记录夹改为数字屏。
【参考对象】现代医院的白蓝封闭补给柜、墙挂健康信息平板，参考窄柜门缝和薄型数字终端，不参考纸病历夹。只参考结构，按本版色板绘制为二维正交侧视素材，不照搬对象的原配色、品牌或文字。
【制作规格】512×1024 px；单张RGBA透明PNG，sRGB，8bit；画布外缘和非主体区域透明。；柜底边中心；平板墙挂安装点。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06" s="37" t="str">
        <x:v>本次只画512×1024的一个窄高白蓝医用密闭储物柜，清楚门缝和短把手，不画药品阵列；单件独立PNG，不附其他同组部件、人物或背景。</x:v>
      </x:c>
      <x:c r="F206" s="37" t="str">
        <x:f>INDEX('素材需求'!$G$8:$G$119,MATCH(B206,'素材需求'!$A$8:$A$119,0))</x:f>
        <x:v>现代医院的白蓝封闭补给柜、墙挂健康信息平板，参考窄柜门缝和薄型数字终端，不参考纸病历夹。只参考结构，按本版色板绘制为二维正交侧视素材，不照搬对象的原配色、品牌或文字。</x:v>
      </x:c>
      <x:c r="G206" s="37" t="str">
        <x:f>INDEX('素材需求'!$B$8:$B$119,MATCH(B206,'素材需求'!$A$8:$A$119,0))</x:f>
        <x:v>P0常态</x:v>
      </x:c>
      <x:c r="H206" s="37" t="str">
        <x:v>游戏拆件／贴图</x:v>
      </x:c>
      <x:c r="I206" s="37" t="str">
        <x:v>512×1024 px；单张RGBA透明PNG，sRGB，8bit；画布外缘和非主体区域透明。</x:v>
      </x:c>
      <x:c r="J206" s="37" t="str">
        <x:v>art_delivery/nm_v2/environment/</x:v>
      </x:c>
      <x:c r="K206" s="45" t="str">
        <x:v>待生成</x:v>
      </x:c>
      <x:c r="L206" s="37" t="str">
        <x:v>cabinet</x:v>
      </x:c>
    </x:row>
    <x:row r="207" ht="285.75" customHeight="1">
      <x:c r="A207" s="38" t="str">
        <x:f>INDEX('素材需求'!$D$8:$D$119,MATCH(B207,'素材需求'!$A$8:$A$119,0))&amp;IF(L207="","","_"&amp;L207)&amp;".png"</x:f>
        <x:v>nm_v2_env_medical_station_health_tablet.png</x:v>
      </x:c>
      <x:c r="B207" s="38" t="str">
        <x:v>ENV_V2_018</x:v>
      </x:c>
      <x:c r="C207" s="38" t="str">
        <x:v>墙挂健康平板</x:v>
      </x:c>
      <x:c r="D207" s="38" t="str">
        <x:f>"【交付文件】"&amp;A207&amp;CHAR(10)&amp;"【本张任务】"&amp;C207&amp;CHAR(10)&amp;'生成规范'!$B$8&amp;CHAR(10)&amp;"【单张范围】"&amp;E207&amp;CHAR(10)&amp;"【本组造型约束】"&amp;INDEX('素材需求'!$F$8:$F$119,MATCH(B207,'素材需求'!$A$8:$A$119,0))&amp;CHAR(10)&amp;"【参考对象】"&amp;F207&amp;CHAR(10)&amp;"【制作规格】"&amp;I207&amp;"；"&amp;INDEX('素材需求'!$M$8:$M$119,MATCH(B207,'素材需求'!$A$8:$A$119,0))&amp;CHAR(10)&amp;"【颜色】"&amp;'生成规范'!$B$10&amp;"；"&amp;'生成规范'!$B$11&amp;CHAR(10)&amp;"【输出规则】"&amp;'生成规范'!$B$12&amp;" 后处理对齐尺寸与轴点；交付用途："&amp;H207&amp;CHAR(10)&amp;"【禁止项】"&amp;'生成规范'!$B$9&amp;"；"&amp;INDEX('素材需求'!$N$8:$N$119,MATCH(B207,'素材需求'!$A$8:$A$119,0))</x:f>
        <x:v>【交付文件】nm_v2_env_medical_station_health_tablet.png
【本张任务】墙挂健康平板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【单张范围】本次只画512×768的一台墙挂白蓝薄平板，屏面留空，无纸夹和纸页；单件独立PNG，不附其他同组部件、人物或背景。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冷白浅蓝密闭医用补给柜、薄边数字健康平板；以通用无品牌医疗标识和小色条辨识，平板无病历文字。既有纸质记录夹改为数字屏。
【参考对象】现代医院的白蓝封闭补给柜、墙挂健康信息平板，参考窄柜门缝和薄型数字终端，不参考纸病历夹。只参考结构，按本版色板绘制为二维正交侧视素材，不照搬对象的原配色、品牌或文字。
【制作规格】512×768 px；单张RGBA透明PNG，sRGB，8bit；画布外缘和非主体区域透明。；柜底边中心；平板墙挂安装点。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07" s="38" t="str">
        <x:v>本次只画512×768的一台墙挂白蓝薄平板，屏面留空，无纸夹和纸页；单件独立PNG，不附其他同组部件、人物或背景。</x:v>
      </x:c>
      <x:c r="F207" s="38" t="str">
        <x:f>INDEX('素材需求'!$G$8:$G$119,MATCH(B207,'素材需求'!$A$8:$A$119,0))</x:f>
        <x:v>现代医院的白蓝封闭补给柜、墙挂健康信息平板，参考窄柜门缝和薄型数字终端，不参考纸病历夹。只参考结构，按本版色板绘制为二维正交侧视素材，不照搬对象的原配色、品牌或文字。</x:v>
      </x:c>
      <x:c r="G207" s="38" t="str">
        <x:f>INDEX('素材需求'!$B$8:$B$119,MATCH(B207,'素材需求'!$A$8:$A$119,0))</x:f>
        <x:v>P0常态</x:v>
      </x:c>
      <x:c r="H207" s="38" t="str">
        <x:v>游戏拆件／贴图</x:v>
      </x:c>
      <x:c r="I207" s="38" t="str">
        <x:v>512×768 px；单张RGBA透明PNG，sRGB，8bit；画布外缘和非主体区域透明。</x:v>
      </x:c>
      <x:c r="J207" s="38" t="str">
        <x:v>art_delivery/nm_v2/environment/</x:v>
      </x:c>
      <x:c r="K207" s="45" t="str">
        <x:v>待生成</x:v>
      </x:c>
      <x:c r="L207" s="38" t="str">
        <x:v>health_tablet</x:v>
      </x:c>
    </x:row>
    <x:row r="208" ht="285.75" customHeight="1">
      <x:c r="A208" s="37" t="str">
        <x:f>INDEX('素材需求'!$D$8:$D$119,MATCH(B208,'素材需求'!$A$8:$A$119,0))&amp;IF(L208="","","_"&amp;L208)&amp;".png"</x:f>
        <x:v>nm_v2_env_digital_archive_cabinet.png</x:v>
      </x:c>
      <x:c r="B208" s="37" t="str">
        <x:v>ENV_V2_019</x:v>
      </x:c>
      <x:c r="C208" s="37" t="str">
        <x:v>数字档案机柜</x:v>
      </x:c>
      <x:c r="D208" s="37" t="str">
        <x:f>"【交付文件】"&amp;A208&amp;CHAR(10)&amp;"【本张任务】"&amp;C208&amp;CHAR(10)&amp;'生成规范'!$B$8&amp;CHAR(10)&amp;"【单张范围】"&amp;E208&amp;CHAR(10)&amp;"【本组造型约束】"&amp;INDEX('素材需求'!$F$8:$F$119,MATCH(B208,'素材需求'!$A$8:$A$119,0))&amp;CHAR(10)&amp;"【参考对象】"&amp;F208&amp;CHAR(10)&amp;"【制作规格】"&amp;I208&amp;"；"&amp;INDEX('素材需求'!$M$8:$M$119,MATCH(B208,'素材需求'!$A$8:$A$119,0))&amp;CHAR(10)&amp;"【颜色】"&amp;'生成规范'!$B$10&amp;"；"&amp;'生成规范'!$B$11&amp;CHAR(10)&amp;"【输出规则】"&amp;'生成规范'!$B$12&amp;" 后处理对齐尺寸与轴点；交付用途："&amp;H208&amp;CHAR(10)&amp;"【禁止项】"&amp;'生成规范'!$B$9&amp;"；"&amp;INDEX('素材需求'!$N$8:$N$119,MATCH(B208,'素材需求'!$A$8:$A$119,0))</x:f>
        <x:v>【交付文件】nm_v2_env_digital_archive_cabinet.png
【本张任务】数字档案机柜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【单张范围】本次只画1024×768的一台低矮现代数字档案柜，金属面板与细插槽，柜顶干净不画数据匣；单件独立PNG，不附其他同组部件、人物或背景。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封闭数字档案柜/小型数据机柜；浅金属面板、细插槽、低亮度状态区。独立数据匣代纸文件夹，电子索引条代纸标签。不得有旧抽屉铜拉手、纸堆或图书馆书架。
【参考对象】现代数字档案中心的小型封闭数据机柜、可拔插存储匣与电子索引条，参考干净插槽和紧凑模块，不参考纸柜书架。只参考结构，按本版色板绘制为二维正交侧视素材，不照搬对象的原配色、品牌或文字。
【制作规格】1024×768 px；单张RGBA透明PNG，sRGB，8bit；画布外缘和非主体区域透明。；柜底边中心；数据匣与索引条左下。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08" s="37" t="str">
        <x:v>本次只画1024×768的一台低矮现代数字档案柜，金属面板与细插槽，柜顶干净不画数据匣；单件独立PNG，不附其他同组部件、人物或背景。</x:v>
      </x:c>
      <x:c r="F208" s="37" t="str">
        <x:f>INDEX('素材需求'!$G$8:$G$119,MATCH(B208,'素材需求'!$A$8:$A$119,0))</x:f>
        <x:v>现代数字档案中心的小型封闭数据机柜、可拔插存储匣与电子索引条，参考干净插槽和紧凑模块，不参考纸柜书架。只参考结构，按本版色板绘制为二维正交侧视素材，不照搬对象的原配色、品牌或文字。</x:v>
      </x:c>
      <x:c r="G208" s="37" t="str">
        <x:f>INDEX('素材需求'!$B$8:$B$119,MATCH(B208,'素材需求'!$A$8:$A$119,0))</x:f>
        <x:v>P0常态</x:v>
      </x:c>
      <x:c r="H208" s="37" t="str">
        <x:v>游戏拆件／贴图</x:v>
      </x:c>
      <x:c r="I208" s="37" t="str">
        <x:v>1024×768 px；单张RGBA透明PNG，sRGB，8bit；画布外缘和非主体区域透明。</x:v>
      </x:c>
      <x:c r="J208" s="37" t="str">
        <x:v>art_delivery/nm_v2/environment/</x:v>
      </x:c>
      <x:c r="K208" s="45" t="str">
        <x:v>待生成</x:v>
      </x:c>
      <x:c r="L208" s="37" t="str">
        <x:v>cabinet</x:v>
      </x:c>
    </x:row>
    <x:row r="209" ht="285.75" customHeight="1">
      <x:c r="A209" s="38" t="str">
        <x:f>INDEX('素材需求'!$D$8:$D$119,MATCH(B209,'素材需求'!$A$8:$A$119,0))&amp;IF(L209="","","_"&amp;L209)&amp;".png"</x:f>
        <x:v>nm_v2_env_digital_archive_data_module.png</x:v>
      </x:c>
      <x:c r="B209" s="38" t="str">
        <x:v>ENV_V2_019</x:v>
      </x:c>
      <x:c r="C209" s="38" t="str">
        <x:v>可分离数据存储匣</x:v>
      </x:c>
      <x:c r="D209" s="38" t="str">
        <x:f>"【交付文件】"&amp;A209&amp;CHAR(10)&amp;"【本张任务】"&amp;C209&amp;CHAR(10)&amp;'生成规范'!$B$8&amp;CHAR(10)&amp;"【单张范围】"&amp;E209&amp;CHAR(10)&amp;"【本组造型约束】"&amp;INDEX('素材需求'!$F$8:$F$119,MATCH(B209,'素材需求'!$A$8:$A$119,0))&amp;CHAR(10)&amp;"【参考对象】"&amp;F209&amp;CHAR(10)&amp;"【制作规格】"&amp;I209&amp;"；"&amp;INDEX('素材需求'!$M$8:$M$119,MATCH(B209,'素材需求'!$A$8:$A$119,0))&amp;CHAR(10)&amp;"【颜色】"&amp;'生成规范'!$B$10&amp;"；"&amp;'生成规范'!$B$11&amp;CHAR(10)&amp;"【输出规则】"&amp;'生成规范'!$B$12&amp;" 后处理对齐尺寸与轴点；交付用途："&amp;H209&amp;CHAR(10)&amp;"【禁止项】"&amp;'生成规范'!$B$9&amp;"；"&amp;INDEX('素材需求'!$N$8:$N$119,MATCH(B209,'素材需求'!$A$8:$A$119,0))</x:f>
        <x:v>【交付文件】nm_v2_env_digital_archive_data_module.png
【本张任务】可分离数据存储匣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【单张范围】本次只画512×256的一只薄型封闭数据匣，金属和深蓝灰接口，无纸页和品牌；单件独立PNG，不附其他同组部件、人物或背景。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封闭数字档案柜/小型数据机柜；浅金属面板、细插槽、低亮度状态区。独立数据匣代纸文件夹，电子索引条代纸标签。不得有旧抽屉铜拉手、纸堆或图书馆书架。
【参考对象】现代数字档案中心的小型封闭数据机柜、可拔插存储匣与电子索引条，参考干净插槽和紧凑模块，不参考纸柜书架。只参考结构，按本版色板绘制为二维正交侧视素材，不照搬对象的原配色、品牌或文字。
【制作规格】512×256 px；单张RGBA透明PNG，sRGB，8bit；画布外缘和非主体区域透明。；柜底边中心；数据匣与索引条左下。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09" s="38" t="str">
        <x:v>本次只画512×256的一只薄型封闭数据匣，金属和深蓝灰接口，无纸页和品牌；单件独立PNG，不附其他同组部件、人物或背景。</x:v>
      </x:c>
      <x:c r="F209" s="38" t="str">
        <x:f>INDEX('素材需求'!$G$8:$G$119,MATCH(B209,'素材需求'!$A$8:$A$119,0))</x:f>
        <x:v>现代数字档案中心的小型封闭数据机柜、可拔插存储匣与电子索引条，参考干净插槽和紧凑模块，不参考纸柜书架。只参考结构，按本版色板绘制为二维正交侧视素材，不照搬对象的原配色、品牌或文字。</x:v>
      </x:c>
      <x:c r="G209" s="38" t="str">
        <x:f>INDEX('素材需求'!$B$8:$B$119,MATCH(B209,'素材需求'!$A$8:$A$119,0))</x:f>
        <x:v>P0常态</x:v>
      </x:c>
      <x:c r="H209" s="38" t="str">
        <x:v>游戏拆件／贴图</x:v>
      </x:c>
      <x:c r="I209" s="38" t="str">
        <x:v>512×256 px；单张RGBA透明PNG，sRGB，8bit；画布外缘和非主体区域透明。</x:v>
      </x:c>
      <x:c r="J209" s="38" t="str">
        <x:v>art_delivery/nm_v2/environment/</x:v>
      </x:c>
      <x:c r="K209" s="45" t="str">
        <x:v>待生成</x:v>
      </x:c>
      <x:c r="L209" s="38" t="str">
        <x:v>data_module</x:v>
      </x:c>
    </x:row>
    <x:row r="210" ht="285.75" customHeight="1">
      <x:c r="A210" s="37" t="str">
        <x:f>INDEX('素材需求'!$D$8:$D$119,MATCH(B210,'素材需求'!$A$8:$A$119,0))&amp;IF(L210="","","_"&amp;L210)&amp;".png"</x:f>
        <x:v>nm_v2_env_digital_archive_index_strip.png</x:v>
      </x:c>
      <x:c r="B210" s="37" t="str">
        <x:v>ENV_V2_019</x:v>
      </x:c>
      <x:c r="C210" s="37" t="str">
        <x:v>电子索引条</x:v>
      </x:c>
      <x:c r="D210" s="37" t="str">
        <x:f>"【交付文件】"&amp;A210&amp;CHAR(10)&amp;"【本张任务】"&amp;C210&amp;CHAR(10)&amp;'生成规范'!$B$8&amp;CHAR(10)&amp;"【单张范围】"&amp;E210&amp;CHAR(10)&amp;"【本组造型约束】"&amp;INDEX('素材需求'!$F$8:$F$119,MATCH(B210,'素材需求'!$A$8:$A$119,0))&amp;CHAR(10)&amp;"【参考对象】"&amp;F210&amp;CHAR(10)&amp;"【制作规格】"&amp;I210&amp;"；"&amp;INDEX('素材需求'!$M$8:$M$119,MATCH(B210,'素材需求'!$A$8:$A$119,0))&amp;CHAR(10)&amp;"【颜色】"&amp;'生成规范'!$B$10&amp;"；"&amp;'生成规范'!$B$11&amp;CHAR(10)&amp;"【输出规则】"&amp;'生成规范'!$B$12&amp;" 后处理对齐尺寸与轴点；交付用途："&amp;H210&amp;CHAR(10)&amp;"【禁止项】"&amp;'生成规范'!$B$9&amp;"；"&amp;INDEX('素材需求'!$N$8:$N$119,MATCH(B210,'素材需求'!$A$8:$A$119,0))</x:f>
        <x:v>【交付文件】nm_v2_env_digital_archive_index_strip.png
【本张任务】电子索引条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【单张范围】本次只画512×128的一条薄电子标签显示底，无文字数字，非纸标签；单件独立PNG，不附其他同组部件、人物或背景。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封闭数字档案柜/小型数据机柜；浅金属面板、细插槽、低亮度状态区。独立数据匣代纸文件夹，电子索引条代纸标签。不得有旧抽屉铜拉手、纸堆或图书馆书架。
【参考对象】现代数字档案中心的小型封闭数据机柜、可拔插存储匣与电子索引条，参考干净插槽和紧凑模块，不参考纸柜书架。只参考结构，按本版色板绘制为二维正交侧视素材，不照搬对象的原配色、品牌或文字。
【制作规格】512×128 px；单张RGBA透明PNG，sRGB，8bit；画布外缘和非主体区域透明。；柜底边中心；数据匣与索引条左下。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10" s="37" t="str">
        <x:v>本次只画512×128的一条薄电子标签显示底，无文字数字，非纸标签；单件独立PNG，不附其他同组部件、人物或背景。</x:v>
      </x:c>
      <x:c r="F210" s="37" t="str">
        <x:f>INDEX('素材需求'!$G$8:$G$119,MATCH(B210,'素材需求'!$A$8:$A$119,0))</x:f>
        <x:v>现代数字档案中心的小型封闭数据机柜、可拔插存储匣与电子索引条，参考干净插槽和紧凑模块，不参考纸柜书架。只参考结构，按本版色板绘制为二维正交侧视素材，不照搬对象的原配色、品牌或文字。</x:v>
      </x:c>
      <x:c r="G210" s="37" t="str">
        <x:f>INDEX('素材需求'!$B$8:$B$119,MATCH(B210,'素材需求'!$A$8:$A$119,0))</x:f>
        <x:v>P0常态</x:v>
      </x:c>
      <x:c r="H210" s="37" t="str">
        <x:v>游戏拆件／贴图</x:v>
      </x:c>
      <x:c r="I210" s="37" t="str">
        <x:v>512×128 px；单张RGBA透明PNG，sRGB，8bit；画布外缘和非主体区域透明。</x:v>
      </x:c>
      <x:c r="J210" s="37" t="str">
        <x:v>art_delivery/nm_v2/environment/</x:v>
      </x:c>
      <x:c r="K210" s="45" t="str">
        <x:v>待生成</x:v>
      </x:c>
      <x:c r="L210" s="37" t="str">
        <x:v>index_strip</x:v>
      </x:c>
    </x:row>
    <x:row r="211" ht="285.75" customHeight="1">
      <x:c r="A211" s="38" t="str">
        <x:f>INDEX('素材需求'!$D$8:$D$119,MATCH(B211,'素材需求'!$A$8:$A$119,0))&amp;IF(L211="","","_"&amp;L211)&amp;".png"</x:f>
        <x:v>nm_v2_env_network_speaker_speaker.png</x:v>
      </x:c>
      <x:c r="B211" s="38" t="str">
        <x:v>ENV_V2_020</x:v>
      </x:c>
      <x:c r="C211" s="38" t="str">
        <x:v>网络广播柱</x:v>
      </x:c>
      <x:c r="D211" s="38" t="str">
        <x:f>"【交付文件】"&amp;A211&amp;CHAR(10)&amp;"【本张任务】"&amp;C211&amp;CHAR(10)&amp;'生成规范'!$B$8&amp;CHAR(10)&amp;"【单张范围】"&amp;E211&amp;CHAR(10)&amp;"【本组造型约束】"&amp;INDEX('素材需求'!$F$8:$F$119,MATCH(B211,'素材需求'!$A$8:$A$119,0))&amp;CHAR(10)&amp;"【参考对象】"&amp;F211&amp;CHAR(10)&amp;"【制作规格】"&amp;I211&amp;"；"&amp;INDEX('素材需求'!$M$8:$M$119,MATCH(B211,'素材需求'!$A$8:$A$119,0))&amp;CHAR(10)&amp;"【颜色】"&amp;'生成规范'!$B$10&amp;"；"&amp;'生成规范'!$B$11&amp;CHAR(10)&amp;"【输出规则】"&amp;'生成规范'!$B$12&amp;" 后处理对齐尺寸与轴点；交付用途："&amp;H211&amp;CHAR(10)&amp;"【禁止项】"&amp;'生成规范'!$B$9&amp;"；"&amp;INDEX('素材需求'!$N$8:$N$119,MATCH(B211,'素材需求'!$A$8:$A$119,0))</x:f>
        <x:v>【交付文件】nm_v2_env_network_speaker_speaker.png
【本张任务】网络广播柱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【单张范围】本次只画768×1024的一台现代细窄广播柱，格栅、支架和基座组成完整单设备，不含声波；单件独立PNG，不附其他同组部件、人物或背景。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单个现代立式网络广播柱，细窄声学格栅、轻支架和紧凑基座；简洁提示灯安装位，非旧扩音喇叭喇叭口。体现机构联络功能而非舞台演唱设备。
【参考对象】现代公共建筑的细窄网络广播柱、会议室联络音柱与紧凑支架基座，参考简洁声学格栅，不参考旧式扩音号角。只参考结构，按本版色板绘制为二维正交侧视素材，不照搬对象的原配色、品牌或文字。
【制作规格】768×1024 px；单张RGBA透明PNG，sRGB，8bit；画布外缘和非主体区域透明。；底盒底边中心。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11" s="38" t="str">
        <x:v>本次只画768×1024的一台现代细窄广播柱，格栅、支架和基座组成完整单设备，不含声波；单件独立PNG，不附其他同组部件、人物或背景。</x:v>
      </x:c>
      <x:c r="F211" s="38" t="str">
        <x:f>INDEX('素材需求'!$G$8:$G$119,MATCH(B211,'素材需求'!$A$8:$A$119,0))</x:f>
        <x:v>现代公共建筑的细窄网络广播柱、会议室联络音柱与紧凑支架基座，参考简洁声学格栅，不参考旧式扩音号角。只参考结构，按本版色板绘制为二维正交侧视素材，不照搬对象的原配色、品牌或文字。</x:v>
      </x:c>
      <x:c r="G211" s="38" t="str">
        <x:f>INDEX('素材需求'!$B$8:$B$119,MATCH(B211,'素材需求'!$A$8:$A$119,0))</x:f>
        <x:v>P0常态</x:v>
      </x:c>
      <x:c r="H211" s="38" t="str">
        <x:v>游戏拆件／贴图</x:v>
      </x:c>
      <x:c r="I211" s="38" t="str">
        <x:v>768×1024 px；单张RGBA透明PNG，sRGB，8bit；画布外缘和非主体区域透明。</x:v>
      </x:c>
      <x:c r="J211" s="38" t="str">
        <x:v>art_delivery/nm_v2/environment/</x:v>
      </x:c>
      <x:c r="K211" s="45" t="str">
        <x:v>待生成</x:v>
      </x:c>
      <x:c r="L211" s="38" t="str">
        <x:v>speaker</x:v>
      </x:c>
    </x:row>
    <x:row r="212" ht="285.75" customHeight="1">
      <x:c r="A212" s="37" t="str">
        <x:f>INDEX('素材需求'!$D$8:$D$119,MATCH(B212,'素材需求'!$A$8:$A$119,0))&amp;IF(L212="","","_"&amp;L212)&amp;".png"</x:f>
        <x:v>nm_v2_env_cooling_core_housing.png</x:v>
      </x:c>
      <x:c r="B212" s="37" t="str">
        <x:v>ENV_V2_021</x:v>
      </x:c>
      <x:c r="C212" s="37" t="str">
        <x:v>冷却核心机箱</x:v>
      </x:c>
      <x:c r="D212" s="37" t="str">
        <x:f>"【交付文件】"&amp;A212&amp;CHAR(10)&amp;"【本张任务】"&amp;C212&amp;CHAR(10)&amp;'生成规范'!$B$8&amp;CHAR(10)&amp;"【单张范围】"&amp;E212&amp;CHAR(10)&amp;"【本组造型约束】"&amp;INDEX('素材需求'!$F$8:$F$119,MATCH(B212,'素材需求'!$A$8:$A$119,0))&amp;CHAR(10)&amp;"【参考对象】"&amp;F212&amp;CHAR(10)&amp;"【制作规格】"&amp;I212&amp;"；"&amp;INDEX('素材需求'!$M$8:$M$119,MATCH(B212,'素材需求'!$A$8:$A$119,0))&amp;CHAR(10)&amp;"【颜色】"&amp;'生成规范'!$B$10&amp;"；"&amp;'生成规范'!$B$11&amp;CHAR(10)&amp;"【输出规则】"&amp;'生成规范'!$B$12&amp;" 后处理对齐尺寸与轴点；交付用途："&amp;H212&amp;CHAR(10)&amp;"【禁止项】"&amp;'生成规范'!$B$9&amp;"；"&amp;INDEX('素材需求'!$N$8:$N$119,MATCH(B212,'素材需求'!$A$8:$A$119,0))</x:f>
        <x:v>【交付文件】nm_v2_env_cooling_core_housing.png
【本张任务】冷却核心机箱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【单张范围】本次只画1024×1024的一台干净现代冷却机箱，圆形转子内腔留空，不画风轮；单件独立PNG，不附其他同组部件、人物或背景。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清洁设备冷却机箱、简洁环形格栅与独立四叶风轮；蓝灰/冷白，小面积青色状态边。不是冰窖或蒸汽锅炉。静态分层，转速/循环动画若接入必须另由模拟时钟驱动。
【参考对象】现代数据中心的密闭冷却机组、圆形内腔风机与可拆转子，参考洁净机箱和机械分层，不参考冰窖锅炉。只参考结构，按本版色板绘制为二维正交侧视素材，不照搬对象的原配色、品牌或文字。
【制作规格】1024×1024 px；单张RGBA透明PNG，sRGB，8bit；画布外缘和非主体区域透明。；机箱底边中心；转子圆心与机箱内腔配准。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12" s="37" t="str">
        <x:v>本次只画1024×1024的一台干净现代冷却机箱，圆形转子内腔留空，不画风轮；单件独立PNG，不附其他同组部件、人物或背景。</x:v>
      </x:c>
      <x:c r="F212" s="37" t="str">
        <x:f>INDEX('素材需求'!$G$8:$G$119,MATCH(B212,'素材需求'!$A$8:$A$119,0))</x:f>
        <x:v>现代数据中心的密闭冷却机组、圆形内腔风机与可拆转子，参考洁净机箱和机械分层，不参考冰窖锅炉。只参考结构，按本版色板绘制为二维正交侧视素材，不照搬对象的原配色、品牌或文字。</x:v>
      </x:c>
      <x:c r="G212" s="37" t="str">
        <x:f>INDEX('素材需求'!$B$8:$B$119,MATCH(B212,'素材需求'!$A$8:$A$119,0))</x:f>
        <x:v>P0常态</x:v>
      </x:c>
      <x:c r="H212" s="37" t="str">
        <x:v>游戏拆件／贴图</x:v>
      </x:c>
      <x:c r="I212" s="37" t="str">
        <x:v>1024×1024 px；单张RGBA透明PNG，sRGB，8bit；画布外缘和非主体区域透明。</x:v>
      </x:c>
      <x:c r="J212" s="37" t="str">
        <x:v>art_delivery/nm_v2/environment/</x:v>
      </x:c>
      <x:c r="K212" s="45" t="str">
        <x:v>待生成</x:v>
      </x:c>
      <x:c r="L212" s="37" t="str">
        <x:v>housing</x:v>
      </x:c>
    </x:row>
    <x:row r="213" ht="285.75" customHeight="1">
      <x:c r="A213" s="38" t="str">
        <x:f>INDEX('素材需求'!$D$8:$D$119,MATCH(B213,'素材需求'!$A$8:$A$119,0))&amp;IF(L213="","","_"&amp;L213)&amp;".png"</x:f>
        <x:v>nm_v2_env_cooling_core_rotor.png</x:v>
      </x:c>
      <x:c r="B213" s="38" t="str">
        <x:v>ENV_V2_021</x:v>
      </x:c>
      <x:c r="C213" s="38" t="str">
        <x:v>独立四叶转子</x:v>
      </x:c>
      <x:c r="D213" s="38" t="str">
        <x:f>"【交付文件】"&amp;A213&amp;CHAR(10)&amp;"【本张任务】"&amp;C213&amp;CHAR(10)&amp;'生成规范'!$B$8&amp;CHAR(10)&amp;"【单张范围】"&amp;E213&amp;CHAR(10)&amp;"【本组造型约束】"&amp;INDEX('素材需求'!$F$8:$F$119,MATCH(B213,'素材需求'!$A$8:$A$119,0))&amp;CHAR(10)&amp;"【参考对象】"&amp;F213&amp;CHAR(10)&amp;"【制作规格】"&amp;I213&amp;"；"&amp;INDEX('素材需求'!$M$8:$M$119,MATCH(B213,'素材需求'!$A$8:$A$119,0))&amp;CHAR(10)&amp;"【颜色】"&amp;'生成规范'!$B$10&amp;"；"&amp;'生成规范'!$B$11&amp;CHAR(10)&amp;"【输出规则】"&amp;'生成规范'!$B$12&amp;" 后处理对齐尺寸与轴点；交付用途："&amp;H213&amp;CHAR(10)&amp;"【禁止项】"&amp;'生成规范'!$B$9&amp;"；"&amp;INDEX('素材需求'!$N$8:$N$119,MATCH(B213,'素材需求'!$A$8:$A$119,0))</x:f>
        <x:v>【交付文件】nm_v2_env_cooling_core_rotor.png
【本张任务】独立四叶转子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【单张范围】本次只画1024×1024的一只完整四叶金属风轮，圆心配准，不含机箱或旋转多帧；单件独立PNG，不附其他同组部件、人物或背景。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清洁设备冷却机箱、简洁环形格栅与独立四叶风轮；蓝灰/冷白，小面积青色状态边。不是冰窖或蒸汽锅炉。静态分层，转速/循环动画若接入必须另由模拟时钟驱动。
【参考对象】现代数据中心的密闭冷却机组、圆形内腔风机与可拆转子，参考洁净机箱和机械分层，不参考冰窖锅炉。只参考结构，按本版色板绘制为二维正交侧视素材，不照搬对象的原配色、品牌或文字。
【制作规格】1024×1024 px；单张RGBA透明PNG，sRGB，8bit；画布外缘和非主体区域透明。；机箱底边中心；转子圆心与机箱内腔配准。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13" s="38" t="str">
        <x:v>本次只画1024×1024的一只完整四叶金属风轮，圆心配准，不含机箱或旋转多帧；单件独立PNG，不附其他同组部件、人物或背景。</x:v>
      </x:c>
      <x:c r="F213" s="38" t="str">
        <x:f>INDEX('素材需求'!$G$8:$G$119,MATCH(B213,'素材需求'!$A$8:$A$119,0))</x:f>
        <x:v>现代数据中心的密闭冷却机组、圆形内腔风机与可拆转子，参考洁净机箱和机械分层，不参考冰窖锅炉。只参考结构，按本版色板绘制为二维正交侧视素材，不照搬对象的原配色、品牌或文字。</x:v>
      </x:c>
      <x:c r="G213" s="38" t="str">
        <x:f>INDEX('素材需求'!$B$8:$B$119,MATCH(B213,'素材需求'!$A$8:$A$119,0))</x:f>
        <x:v>P0常态</x:v>
      </x:c>
      <x:c r="H213" s="38" t="str">
        <x:v>游戏拆件／贴图</x:v>
      </x:c>
      <x:c r="I213" s="38" t="str">
        <x:v>1024×1024 px；单张RGBA透明PNG，sRGB，8bit；画布外缘和非主体区域透明。</x:v>
      </x:c>
      <x:c r="J213" s="38" t="str">
        <x:v>art_delivery/nm_v2/environment/</x:v>
      </x:c>
      <x:c r="K213" s="45" t="str">
        <x:v>待生成</x:v>
      </x:c>
      <x:c r="L213" s="38" t="str">
        <x:v>rotor</x:v>
      </x:c>
    </x:row>
    <x:row r="214" ht="285.75" customHeight="1">
      <x:c r="A214" s="37" t="str">
        <x:f>INDEX('素材需求'!$D$8:$D$119,MATCH(B214,'素材需求'!$A$8:$A$119,0))&amp;IF(L214="","","_"&amp;L214)&amp;".png"</x:f>
        <x:v>nm_v2_env_n01_observation_pedestal_pedestal.png</x:v>
      </x:c>
      <x:c r="B214" s="37" t="str">
        <x:v>ENV_V2_022</x:v>
      </x:c>
      <x:c r="C214" s="37" t="str">
        <x:v>暖黄观察终端</x:v>
      </x:c>
      <x:c r="D214" s="37" t="str">
        <x:f>"【交付文件】"&amp;A214&amp;CHAR(10)&amp;"【本张任务】"&amp;C214&amp;CHAR(10)&amp;'生成规范'!$B$8&amp;CHAR(10)&amp;"【单张范围】"&amp;E214&amp;CHAR(10)&amp;"【本组造型约束】"&amp;INDEX('素材需求'!$F$8:$F$119,MATCH(B214,'素材需求'!$A$8:$A$119,0))&amp;CHAR(10)&amp;"【参考对象】"&amp;F214&amp;CHAR(10)&amp;"【制作规格】"&amp;I214&amp;"；"&amp;INDEX('素材需求'!$M$8:$M$119,MATCH(B214,'素材需求'!$A$8:$A$119,0))&amp;CHAR(10)&amp;"【颜色】"&amp;'生成规范'!$B$10&amp;"；"&amp;'生成规范'!$B$11&amp;CHAR(10)&amp;"【输出规则】"&amp;'生成规范'!$B$12&amp;" 后处理对齐尺寸与轴点；交付用途："&amp;H214&amp;CHAR(10)&amp;"【禁止项】"&amp;'生成规范'!$B$9&amp;"；"&amp;INDEX('素材需求'!$N$8:$N$119,MATCH(B214,'素材需求'!$A$8:$A$119,0))</x:f>
        <x:v>【交付文件】nm_v2_env_n01_observation_pedestal_pedestal.png
【本张任务】暖黄观察终端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【单张范围】本次只画512×1024的一台奶白暖黄窄高内容观察仪，平面屏安装区清楚，不含奶龙或龙脸图案；单件独立PNG，不附其他同组部件、人物或背景。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窄高现代观察终端，奶白主体与暖黄小面板，圆角但仍有专业仪器感；屏幕保持空白。与柔软陈列配合构成低龄内容观察室，不画成游乐园。
【参考对象】儿童内容研究空间的奶白暖黄圆角观察仪、现代展示区互动信息柱，参考亲和色块与专业平面屏结构，不参考游乐设施。只参考结构，按本版色板绘制为二维正交侧视素材，不照搬对象的原配色、品牌或文字。
【制作规格】512×1024 px；单张RGBA透明PNG，sRGB，8bit；画布外缘和非主体区域透明。；底边中心；可覆盖显示区另标。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14" s="37" t="str">
        <x:v>本次只画512×1024的一台奶白暖黄窄高内容观察仪，平面屏安装区清楚，不含奶龙或龙脸图案；单件独立PNG，不附其他同组部件、人物或背景。</x:v>
      </x:c>
      <x:c r="F214" s="37" t="str">
        <x:f>INDEX('素材需求'!$G$8:$G$119,MATCH(B214,'素材需求'!$A$8:$A$119,0))</x:f>
        <x:v>儿童内容研究空间的奶白暖黄圆角观察仪、现代展示区互动信息柱，参考亲和色块与专业平面屏结构，不参考游乐设施。只参考结构，按本版色板绘制为二维正交侧视素材，不照搬对象的原配色、品牌或文字。</x:v>
      </x:c>
      <x:c r="G214" s="37" t="str">
        <x:f>INDEX('素材需求'!$B$8:$B$119,MATCH(B214,'素材需求'!$A$8:$A$119,0))</x:f>
        <x:v>P0常态</x:v>
      </x:c>
      <x:c r="H214" s="37" t="str">
        <x:v>游戏拆件／贴图</x:v>
      </x:c>
      <x:c r="I214" s="37" t="str">
        <x:v>512×1024 px；单张RGBA透明PNG，sRGB，8bit；画布外缘和非主体区域透明。</x:v>
      </x:c>
      <x:c r="J214" s="37" t="str">
        <x:v>art_delivery/nm_v2/environment/</x:v>
      </x:c>
      <x:c r="K214" s="45" t="str">
        <x:v>待生成</x:v>
      </x:c>
      <x:c r="L214" s="37" t="str">
        <x:v>pedestal</x:v>
      </x:c>
    </x:row>
    <x:row r="215" ht="285.75" customHeight="1">
      <x:c r="A215" s="38" t="str">
        <x:f>INDEX('素材需求'!$D$8:$D$119,MATCH(B215,'素材需求'!$A$8:$A$119,0))&amp;IF(L215="","","_"&amp;L215)&amp;".png"</x:f>
        <x:v>nm_v2_env_n02_emotion_station_sensor_tower.png</x:v>
      </x:c>
      <x:c r="B215" s="38" t="str">
        <x:v>ENV_V2_023</x:v>
      </x:c>
      <x:c r="C215" s="38" t="str">
        <x:v>情绪反应观测塔</x:v>
      </x:c>
      <x:c r="D215" s="38" t="str">
        <x:f>"【交付文件】"&amp;A215&amp;CHAR(10)&amp;"【本张任务】"&amp;C215&amp;CHAR(10)&amp;'生成规范'!$B$8&amp;CHAR(10)&amp;"【单张范围】"&amp;E215&amp;CHAR(10)&amp;"【本组造型约束】"&amp;INDEX('素材需求'!$F$8:$F$119,MATCH(B215,'素材需求'!$A$8:$A$119,0))&amp;CHAR(10)&amp;"【参考对象】"&amp;F215&amp;CHAR(10)&amp;"【制作规格】"&amp;I215&amp;"；"&amp;INDEX('素材需求'!$M$8:$M$119,MATCH(B215,'素材需求'!$A$8:$A$119,0))&amp;CHAR(10)&amp;"【颜色】"&amp;'生成规范'!$B$10&amp;"；"&amp;'生成规范'!$B$11&amp;CHAR(10)&amp;"【输出规则】"&amp;'生成规范'!$B$12&amp;" 后处理对齐尺寸与轴点；交付用途："&amp;H215&amp;CHAR(10)&amp;"【禁止项】"&amp;'生成规范'!$B$9&amp;"；"&amp;INDEX('素材需求'!$N$8:$N$119,MATCH(B215,'素材需求'!$A$8:$A$119,0))</x:f>
        <x:v>【交付文件】nm_v2_env_n02_emotion_station_sensor_tower.png
【本张任务】情绪反应观测塔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【单张范围】本次只画768×1024的一台暖灰脏粉小点缀的窄观测塔，两个小监测头和同一立架组成单件，不画猫；单件独立PNG，不附其他同组部件、人物或背景。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灰暖白/低饱和脏粉点缀的现代情绪反应观测架，轮廓稍紧凑但仍洁净；两个小监测头属于同一设备塔。独立壁面传感贴片替代破坏抓痕，屏幕内容不烘焙。比其他房略收敛光照，不做牢笼。
【参考对象】现代情绪反应实验室的紧凑多点观测架、非接触壁面传感器，参考小监测头与支架安装关系，以暖灰和少量脏粉形成区别。只参考结构，按本版色板绘制为二维正交侧视素材，不照搬对象的原配色、品牌或文字。
【制作规格】768×1024 px；单张RGBA透明PNG，sRGB，8bit；画布外缘和非主体区域透明。；塔底部中轴；传感贴片中心。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15" s="38" t="str">
        <x:v>本次只画768×1024的一台暖灰脏粉小点缀的窄观测塔，两个小监测头和同一立架组成单件，不画猫；单件独立PNG，不附其他同组部件、人物或背景。</x:v>
      </x:c>
      <x:c r="F215" s="38" t="str">
        <x:f>INDEX('素材需求'!$G$8:$G$119,MATCH(B215,'素材需求'!$A$8:$A$119,0))</x:f>
        <x:v>现代情绪反应实验室的紧凑多点观测架、非接触壁面传感器，参考小监测头与支架安装关系，以暖灰和少量脏粉形成区别。只参考结构，按本版色板绘制为二维正交侧视素材，不照搬对象的原配色、品牌或文字。</x:v>
      </x:c>
      <x:c r="G215" s="38" t="str">
        <x:f>INDEX('素材需求'!$B$8:$B$119,MATCH(B215,'素材需求'!$A$8:$A$119,0))</x:f>
        <x:v>P0常态</x:v>
      </x:c>
      <x:c r="H215" s="38" t="str">
        <x:v>游戏拆件／贴图</x:v>
      </x:c>
      <x:c r="I215" s="38" t="str">
        <x:v>768×1024 px；单张RGBA透明PNG，sRGB，8bit；画布外缘和非主体区域透明。</x:v>
      </x:c>
      <x:c r="J215" s="38" t="str">
        <x:v>art_delivery/nm_v2/environment/</x:v>
      </x:c>
      <x:c r="K215" s="45" t="str">
        <x:v>待生成</x:v>
      </x:c>
      <x:c r="L215" s="38" t="str">
        <x:v>sensor_tower</x:v>
      </x:c>
    </x:row>
    <x:row r="216" ht="285.75" customHeight="1">
      <x:c r="A216" s="37" t="str">
        <x:f>INDEX('素材需求'!$D$8:$D$119,MATCH(B216,'素材需求'!$A$8:$A$119,0))&amp;IF(L216="","","_"&amp;L216)&amp;".png"</x:f>
        <x:v>nm_v2_env_n02_emotion_station_sensor_pad.png</x:v>
      </x:c>
      <x:c r="B216" s="37" t="str">
        <x:v>ENV_V2_023</x:v>
      </x:c>
      <x:c r="C216" s="37" t="str">
        <x:v>壁面情绪传感贴片</x:v>
      </x:c>
      <x:c r="D216" s="37" t="str">
        <x:f>"【交付文件】"&amp;A216&amp;CHAR(10)&amp;"【本张任务】"&amp;C216&amp;CHAR(10)&amp;'生成规范'!$B$8&amp;CHAR(10)&amp;"【单张范围】"&amp;E216&amp;CHAR(10)&amp;"【本组造型约束】"&amp;INDEX('素材需求'!$F$8:$F$119,MATCH(B216,'素材需求'!$A$8:$A$119,0))&amp;CHAR(10)&amp;"【参考对象】"&amp;F216&amp;CHAR(10)&amp;"【制作规格】"&amp;I216&amp;"；"&amp;INDEX('素材需求'!$M$8:$M$119,MATCH(B216,'素材需求'!$A$8:$A$119,0))&amp;CHAR(10)&amp;"【颜色】"&amp;'生成规范'!$B$10&amp;"；"&amp;'生成规范'!$B$11&amp;CHAR(10)&amp;"【输出规则】"&amp;'生成规范'!$B$12&amp;" 后处理对齐尺寸与轴点；交付用途："&amp;H216&amp;CHAR(10)&amp;"【禁止项】"&amp;'生成规范'!$B$9&amp;"；"&amp;INDEX('素材需求'!$N$8:$N$119,MATCH(B216,'素材需求'!$A$8:$A$119,0))</x:f>
        <x:v>【交付文件】nm_v2_env_n02_emotion_station_sensor_pad.png
【本张任务】壁面情绪传感贴片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【单张范围】本次只画512×512的一只扁平圆角壁面传感器，冷白边与少量脏粉标识，不画抓痕或评论；单件独立PNG，不附其他同组部件、人物或背景。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灰暖白/低饱和脏粉点缀的现代情绪反应观测架，轮廓稍紧凑但仍洁净；两个小监测头属于同一设备塔。独立壁面传感贴片替代破坏抓痕，屏幕内容不烘焙。比其他房略收敛光照，不做牢笼。
【参考对象】现代情绪反应实验室的紧凑多点观测架、非接触壁面传感器，参考小监测头与支架安装关系，以暖灰和少量脏粉形成区别。只参考结构，按本版色板绘制为二维正交侧视素材，不照搬对象的原配色、品牌或文字。
【制作规格】512×512 px；单张RGBA透明PNG，sRGB，8bit；画布外缘和非主体区域透明。；塔底部中轴；传感贴片中心。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16" s="37" t="str">
        <x:v>本次只画512×512的一只扁平圆角壁面传感器，冷白边与少量脏粉标识，不画抓痕或评论；单件独立PNG，不附其他同组部件、人物或背景。</x:v>
      </x:c>
      <x:c r="F216" s="37" t="str">
        <x:f>INDEX('素材需求'!$G$8:$G$119,MATCH(B216,'素材需求'!$A$8:$A$119,0))</x:f>
        <x:v>现代情绪反应实验室的紧凑多点观测架、非接触壁面传感器，参考小监测头与支架安装关系，以暖灰和少量脏粉形成区别。只参考结构，按本版色板绘制为二维正交侧视素材，不照搬对象的原配色、品牌或文字。</x:v>
      </x:c>
      <x:c r="G216" s="37" t="str">
        <x:f>INDEX('素材需求'!$B$8:$B$119,MATCH(B216,'素材需求'!$A$8:$A$119,0))</x:f>
        <x:v>P0常态</x:v>
      </x:c>
      <x:c r="H216" s="37" t="str">
        <x:v>游戏拆件／贴图</x:v>
      </x:c>
      <x:c r="I216" s="37" t="str">
        <x:v>512×512 px；单张RGBA透明PNG，sRGB，8bit；画布外缘和非主体区域透明。</x:v>
      </x:c>
      <x:c r="J216" s="37" t="str">
        <x:v>art_delivery/nm_v2/environment/</x:v>
      </x:c>
      <x:c r="K216" s="45" t="str">
        <x:v>待生成</x:v>
      </x:c>
      <x:c r="L216" s="37" t="str">
        <x:v>sensor_pad</x:v>
      </x:c>
    </x:row>
    <x:row r="217" ht="285.75" customHeight="1">
      <x:c r="A217" s="38" t="str">
        <x:f>INDEX('素材需求'!$D$8:$D$119,MATCH(B217,'素材需求'!$A$8:$A$119,0))&amp;IF(L217="","","_"&amp;L217)&amp;".png"</x:f>
        <x:v>nm_v2_env_n03_acoustic_station_acoustic_panel.png</x:v>
      </x:c>
      <x:c r="B217" s="38" t="str">
        <x:v>ENV_V2_024</x:v>
      </x:c>
      <x:c r="C217" s="38" t="str">
        <x:v>红橙点缀声学板</x:v>
      </x:c>
      <x:c r="D217" s="38" t="str">
        <x:f>"【交付文件】"&amp;A217&amp;CHAR(10)&amp;"【本张任务】"&amp;C217&amp;CHAR(10)&amp;'生成规范'!$B$8&amp;CHAR(10)&amp;"【单张范围】"&amp;E217&amp;CHAR(10)&amp;"【本组造型约束】"&amp;INDEX('素材需求'!$F$8:$F$119,MATCH(B217,'素材需求'!$A$8:$A$119,0))&amp;CHAR(10)&amp;"【参考对象】"&amp;F217&amp;CHAR(10)&amp;"【制作规格】"&amp;I217&amp;"；"&amp;INDEX('素材需求'!$M$8:$M$119,MATCH(B217,'素材需求'!$A$8:$A$119,0))&amp;CHAR(10)&amp;"【颜色】"&amp;'生成规范'!$B$10&amp;"；"&amp;'生成规范'!$B$11&amp;CHAR(10)&amp;"【输出规则】"&amp;'生成规范'!$B$12&amp;" 后处理对齐尺寸与轴点；交付用途："&amp;H217&amp;CHAR(10)&amp;"【禁止项】"&amp;'生成规范'!$B$9&amp;"；"&amp;INDEX('素材需求'!$N$8:$N$119,MATCH(B217,'素材需求'!$A$8:$A$119,0))</x:f>
        <x:v>【交付文件】nm_v2_env_n03_acoustic_station_acoustic_panel.png
【本张任务】红橙点缀声学板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【单张范围】本次只画256×1024的一块浅灰窄竖吸音板，红橙薄边或小色条，少量宽槽不做密网；单件独立PNG，不附其他同组部件、人物或背景。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清洁浅灰声学板，红橙/粉白少量导向色；紧凑圆形收音传感器替代束缚固定环。体现热闹内容的专业音频监测，不使用链条、犬舍、牢笼。
【参考对象】现代录音棚的窄吸音板、紧凑收音器与音频监测探头，参考整洁声学结构，以红橙及粉白小色条区分大狗房。只参考结构，按本版色板绘制为二维正交侧视素材，不照搬对象的原配色、品牌或文字。
【制作规格】256×1024 px；单张RGBA透明PNG，sRGB，8bit；画布外缘和非主体区域透明。；吸音板左上；收音传感器安装中心。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17" s="38" t="str">
        <x:v>本次只画256×1024的一块浅灰窄竖吸音板，红橙薄边或小色条，少量宽槽不做密网；单件独立PNG，不附其他同组部件、人物或背景。</x:v>
      </x:c>
      <x:c r="F217" s="38" t="str">
        <x:f>INDEX('素材需求'!$G$8:$G$119,MATCH(B217,'素材需求'!$A$8:$A$119,0))</x:f>
        <x:v>现代录音棚的窄吸音板、紧凑收音器与音频监测探头，参考整洁声学结构，以红橙及粉白小色条区分大狗房。只参考结构，按本版色板绘制为二维正交侧视素材，不照搬对象的原配色、品牌或文字。</x:v>
      </x:c>
      <x:c r="G217" s="38" t="str">
        <x:f>INDEX('素材需求'!$B$8:$B$119,MATCH(B217,'素材需求'!$A$8:$A$119,0))</x:f>
        <x:v>P0常态</x:v>
      </x:c>
      <x:c r="H217" s="38" t="str">
        <x:v>游戏拆件／贴图</x:v>
      </x:c>
      <x:c r="I217" s="38" t="str">
        <x:v>256×1024 px；单张RGBA透明PNG，sRGB，8bit；画布外缘和非主体区域透明。</x:v>
      </x:c>
      <x:c r="J217" s="38" t="str">
        <x:v>art_delivery/nm_v2/environment/</x:v>
      </x:c>
      <x:c r="K217" s="45" t="str">
        <x:v>待生成</x:v>
      </x:c>
      <x:c r="L217" s="38" t="str">
        <x:v>acoustic_panel</x:v>
      </x:c>
    </x:row>
    <x:row r="218" ht="285.75" customHeight="1">
      <x:c r="A218" s="37" t="str">
        <x:f>INDEX('素材需求'!$D$8:$D$119,MATCH(B218,'素材需求'!$A$8:$A$119,0))&amp;IF(L218="","","_"&amp;L218)&amp;".png"</x:f>
        <x:v>nm_v2_env_n03_acoustic_station_audio_sensor.png</x:v>
      </x:c>
      <x:c r="B218" s="37" t="str">
        <x:v>ENV_V2_024</x:v>
      </x:c>
      <x:c r="C218" s="37" t="str">
        <x:v>独立收音传感器</x:v>
      </x:c>
      <x:c r="D218" s="37" t="str">
        <x:f>"【交付文件】"&amp;A218&amp;CHAR(10)&amp;"【本张任务】"&amp;C218&amp;CHAR(10)&amp;'生成规范'!$B$8&amp;CHAR(10)&amp;"【单张范围】"&amp;E218&amp;CHAR(10)&amp;"【本组造型约束】"&amp;INDEX('素材需求'!$F$8:$F$119,MATCH(B218,'素材需求'!$A$8:$A$119,0))&amp;CHAR(10)&amp;"【参考对象】"&amp;F218&amp;CHAR(10)&amp;"【制作规格】"&amp;I218&amp;"；"&amp;INDEX('素材需求'!$M$8:$M$119,MATCH(B218,'素材需求'!$A$8:$A$119,0))&amp;CHAR(10)&amp;"【颜色】"&amp;'生成规范'!$B$10&amp;"；"&amp;'生成规范'!$B$11&amp;CHAR(10)&amp;"【输出规则】"&amp;'生成规范'!$B$12&amp;" 后处理对齐尺寸与轴点；交付用途："&amp;H218&amp;CHAR(10)&amp;"【禁止项】"&amp;'生成规范'!$B$9&amp;"；"&amp;INDEX('素材需求'!$N$8:$N$119,MATCH(B218,'素材需求'!$A$8:$A$119,0))</x:f>
        <x:v>【交付文件】nm_v2_env_n03_acoustic_station_audio_sensor.png
【本张任务】独立收音传感器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【单张范围】本次只画512×512的一只紧凑现代圆形收音监测器及安装座，粉白/金属灰，不画固定链环；单件独立PNG，不附其他同组部件、人物或背景。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清洁浅灰声学板，红橙/粉白少量导向色；紧凑圆形收音传感器替代束缚固定环。体现热闹内容的专业音频监测，不使用链条、犬舍、牢笼。
【参考对象】现代录音棚的窄吸音板、紧凑收音器与音频监测探头，参考整洁声学结构，以红橙及粉白小色条区分大狗房。只参考结构，按本版色板绘制为二维正交侧视素材，不照搬对象的原配色、品牌或文字。
【制作规格】512×512 px；单张RGBA透明PNG，sRGB，8bit；画布外缘和非主体区域透明。；吸音板左上；收音传感器安装中心。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18" s="37" t="str">
        <x:v>本次只画512×512的一只紧凑现代圆形收音监测器及安装座，粉白/金属灰，不画固定链环；单件独立PNG，不附其他同组部件、人物或背景。</x:v>
      </x:c>
      <x:c r="F218" s="37" t="str">
        <x:f>INDEX('素材需求'!$G$8:$G$119,MATCH(B218,'素材需求'!$A$8:$A$119,0))</x:f>
        <x:v>现代录音棚的窄吸音板、紧凑收音器与音频监测探头，参考整洁声学结构，以红橙及粉白小色条区分大狗房。只参考结构，按本版色板绘制为二维正交侧视素材，不照搬对象的原配色、品牌或文字。</x:v>
      </x:c>
      <x:c r="G218" s="37" t="str">
        <x:f>INDEX('素材需求'!$B$8:$B$119,MATCH(B218,'素材需求'!$A$8:$A$119,0))</x:f>
        <x:v>P0常态</x:v>
      </x:c>
      <x:c r="H218" s="37" t="str">
        <x:v>游戏拆件／贴图</x:v>
      </x:c>
      <x:c r="I218" s="37" t="str">
        <x:v>512×512 px；单张RGBA透明PNG，sRGB，8bit；画布外缘和非主体区域透明。</x:v>
      </x:c>
      <x:c r="J218" s="37" t="str">
        <x:v>art_delivery/nm_v2/environment/</x:v>
      </x:c>
      <x:c r="K218" s="45" t="str">
        <x:v>待生成</x:v>
      </x:c>
      <x:c r="L218" s="37" t="str">
        <x:v>audio_sensor</x:v>
      </x:c>
    </x:row>
    <x:row r="219" ht="285.75" customHeight="1">
      <x:c r="A219" s="38" t="str">
        <x:f>INDEX('素材需求'!$D$8:$D$119,MATCH(B219,'素材需求'!$A$8:$A$119,0))&amp;IF(L219="","","_"&amp;L219)&amp;".png"</x:f>
        <x:v>nm_v2_env_n04_notification_station_speaker.png</x:v>
      </x:c>
      <x:c r="B219" s="38" t="str">
        <x:v>ENV_V2_025</x:v>
      </x:c>
      <x:c r="C219" s="38" t="str">
        <x:v>隔离间监听音箱</x:v>
      </x:c>
      <x:c r="D219" s="38" t="str">
        <x:f>"【交付文件】"&amp;A219&amp;CHAR(10)&amp;"【本张任务】"&amp;C219&amp;CHAR(10)&amp;'生成规范'!$B$8&amp;CHAR(10)&amp;"【单张范围】"&amp;E219&amp;CHAR(10)&amp;"【本组造型约束】"&amp;INDEX('素材需求'!$F$8:$F$119,MATCH(B219,'素材需求'!$A$8:$A$119,0))&amp;CHAR(10)&amp;"【参考对象】"&amp;F219&amp;CHAR(10)&amp;"【制作规格】"&amp;I219&amp;"；"&amp;INDEX('素材需求'!$M$8:$M$119,MATCH(B219,'素材需求'!$A$8:$A$119,0))&amp;CHAR(10)&amp;"【颜色】"&amp;'生成规范'!$B$10&amp;"；"&amp;'生成规范'!$B$11&amp;CHAR(10)&amp;"【输出规则】"&amp;'生成规范'!$B$12&amp;" 后处理对齐尺寸与轴点；交付用途："&amp;H219&amp;CHAR(10)&amp;"【禁止项】"&amp;'生成规范'!$B$9&amp;"；"&amp;INDEX('素材需求'!$N$8:$N$119,MATCH(B219,'素材需求'!$A$8:$A$119,0))</x:f>
        <x:v>【交付文件】nm_v2_env_n04_notification_station_speaker.png
【本张任务】隔离间监听音箱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【单张范围】本次只画512×1024的一只干净灰白窄高监听音箱，上下两个简洁声学单元和黄橙小标识；单件独立PNG，不附其他同组部件、人物或背景。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窄高监听音箱、方圆角通知屏、独立中性提示光段；明黄/橙黄点缀，红色只留小提示位。旧钟表不再作为主设备；波形、循环标签和实际通知由运行时或污染层提供。
【参考对象】现代广播监听室的窄高音箱、方圆角通知终端与独立提示灯条，参考播报设备轮廓，以黄橙点缀区分叮咚鸡房。只参考结构，按本版色板绘制为二维正交侧视素材，不照搬对象的原配色、品牌或文字。
【制作规格】512×1024 px；单张RGBA透明PNG，sRGB，8bit；画布外缘和非主体区域透明。；音箱底边中心；通知屏与指示层同画布中心。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19" s="38" t="str">
        <x:v>本次只画512×1024的一只干净灰白窄高监听音箱，上下两个简洁声学单元和黄橙小标识；单件独立PNG，不附其他同组部件、人物或背景。</x:v>
      </x:c>
      <x:c r="F219" s="38" t="str">
        <x:f>INDEX('素材需求'!$G$8:$G$119,MATCH(B219,'素材需求'!$A$8:$A$119,0))</x:f>
        <x:v>现代广播监听室的窄高音箱、方圆角通知终端与独立提示灯条，参考播报设备轮廓，以黄橙点缀区分叮咚鸡房。只参考结构，按本版色板绘制为二维正交侧视素材，不照搬对象的原配色、品牌或文字。</x:v>
      </x:c>
      <x:c r="G219" s="38" t="str">
        <x:f>INDEX('素材需求'!$B$8:$B$119,MATCH(B219,'素材需求'!$A$8:$A$119,0))</x:f>
        <x:v>P0常态</x:v>
      </x:c>
      <x:c r="H219" s="38" t="str">
        <x:v>游戏拆件／贴图</x:v>
      </x:c>
      <x:c r="I219" s="38" t="str">
        <x:v>512×1024 px；单张RGBA透明PNG，sRGB，8bit；画布外缘和非主体区域透明。</x:v>
      </x:c>
      <x:c r="J219" s="38" t="str">
        <x:v>art_delivery/nm_v2/environment/</x:v>
      </x:c>
      <x:c r="K219" s="45" t="str">
        <x:v>待生成</x:v>
      </x:c>
      <x:c r="L219" s="38" t="str">
        <x:v>speaker</x:v>
      </x:c>
    </x:row>
    <x:row r="220" ht="285.75" customHeight="1">
      <x:c r="A220" s="37" t="str">
        <x:f>INDEX('素材需求'!$D$8:$D$119,MATCH(B220,'素材需求'!$A$8:$A$119,0))&amp;IF(L220="","","_"&amp;L220)&amp;".png"</x:f>
        <x:v>nm_v2_env_n04_notification_station_notification_frame.png</x:v>
      </x:c>
      <x:c r="B220" s="37" t="str">
        <x:v>ENV_V2_025</x:v>
      </x:c>
      <x:c r="C220" s="37" t="str">
        <x:v>方圆角通知终端</x:v>
      </x:c>
      <x:c r="D220" s="37" t="str">
        <x:f>"【交付文件】"&amp;A220&amp;CHAR(10)&amp;"【本张任务】"&amp;C220&amp;CHAR(10)&amp;'生成规范'!$B$8&amp;CHAR(10)&amp;"【单张范围】"&amp;E220&amp;CHAR(10)&amp;"【本组造型约束】"&amp;INDEX('素材需求'!$F$8:$F$119,MATCH(B220,'素材需求'!$A$8:$A$119,0))&amp;CHAR(10)&amp;"【参考对象】"&amp;F220&amp;CHAR(10)&amp;"【制作规格】"&amp;I220&amp;"；"&amp;INDEX('素材需求'!$M$8:$M$119,MATCH(B220,'素材需求'!$A$8:$A$119,0))&amp;CHAR(10)&amp;"【颜色】"&amp;'生成规范'!$B$10&amp;"；"&amp;'生成规范'!$B$11&amp;CHAR(10)&amp;"【输出规则】"&amp;'生成规范'!$B$12&amp;" 后处理对齐尺寸与轴点；交付用途："&amp;H220&amp;CHAR(10)&amp;"【禁止项】"&amp;'生成规范'!$B$9&amp;"；"&amp;INDEX('素材需求'!$N$8:$N$119,MATCH(B220,'素材需求'!$A$8:$A$119,0))</x:f>
        <x:v>【交付文件】nm_v2_env_n04_notification_station_notification_frame.png
【本张任务】方圆角通知终端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【单张范围】本次只画512×512的一块方圆角通知屏壳体与净空暗屏，少量橙黄细边，不画挂钟或数字；单件独立PNG，不附其他同组部件、人物或背景。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窄高监听音箱、方圆角通知屏、独立中性提示光段；明黄/橙黄点缀，红色只留小提示位。旧钟表不再作为主设备；波形、循环标签和实际通知由运行时或污染层提供。
【参考对象】现代广播监听室的窄高音箱、方圆角通知终端与独立提示灯条，参考播报设备轮廓，以黄橙点缀区分叮咚鸡房。只参考结构，按本版色板绘制为二维正交侧视素材，不照搬对象的原配色、品牌或文字。
【制作规格】512×512 px；单张RGBA透明PNG，sRGB，8bit；画布外缘和非主体区域透明。；音箱底边中心；通知屏与指示层同画布中心。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20" s="37" t="str">
        <x:v>本次只画512×512的一块方圆角通知屏壳体与净空暗屏，少量橙黄细边，不画挂钟或数字；单件独立PNG，不附其他同组部件、人物或背景。</x:v>
      </x:c>
      <x:c r="F220" s="37" t="str">
        <x:f>INDEX('素材需求'!$G$8:$G$119,MATCH(B220,'素材需求'!$A$8:$A$119,0))</x:f>
        <x:v>现代广播监听室的窄高音箱、方圆角通知终端与独立提示灯条，参考播报设备轮廓，以黄橙点缀区分叮咚鸡房。只参考结构，按本版色板绘制为二维正交侧视素材，不照搬对象的原配色、品牌或文字。</x:v>
      </x:c>
      <x:c r="G220" s="37" t="str">
        <x:f>INDEX('素材需求'!$B$8:$B$119,MATCH(B220,'素材需求'!$A$8:$A$119,0))</x:f>
        <x:v>P0常态</x:v>
      </x:c>
      <x:c r="H220" s="37" t="str">
        <x:v>游戏拆件／贴图</x:v>
      </x:c>
      <x:c r="I220" s="37" t="str">
        <x:v>512×512 px；单张RGBA透明PNG，sRGB，8bit；画布外缘和非主体区域透明。</x:v>
      </x:c>
      <x:c r="J220" s="37" t="str">
        <x:v>art_delivery/nm_v2/environment/</x:v>
      </x:c>
      <x:c r="K220" s="45" t="str">
        <x:v>待生成</x:v>
      </x:c>
      <x:c r="L220" s="37" t="str">
        <x:v>notification_frame</x:v>
      </x:c>
    </x:row>
    <x:row r="221" ht="285.75" customHeight="1">
      <x:c r="A221" s="38" t="str">
        <x:f>INDEX('素材需求'!$D$8:$D$119,MATCH(B221,'素材需求'!$A$8:$A$119,0))&amp;IF(L221="","","_"&amp;L221)&amp;".png"</x:f>
        <x:v>nm_v2_env_n04_notification_station_status_strip.png</x:v>
      </x:c>
      <x:c r="B221" s="38" t="str">
        <x:v>ENV_V2_025</x:v>
      </x:c>
      <x:c r="C221" s="38" t="str">
        <x:v>通知终端独立提示光段</x:v>
      </x:c>
      <x:c r="D221" s="38" t="str">
        <x:f>"【交付文件】"&amp;A221&amp;CHAR(10)&amp;"【本张任务】"&amp;C221&amp;CHAR(10)&amp;'生成规范'!$B$8&amp;CHAR(10)&amp;"【单张范围】"&amp;E221&amp;CHAR(10)&amp;"【本组造型约束】"&amp;INDEX('素材需求'!$F$8:$F$119,MATCH(B221,'素材需求'!$A$8:$A$119,0))&amp;CHAR(10)&amp;"【参考对象】"&amp;F221&amp;CHAR(10)&amp;"【制作规格】"&amp;I221&amp;"；"&amp;INDEX('素材需求'!$M$8:$M$119,MATCH(B221,'素材需求'!$A$8:$A$119,0))&amp;CHAR(10)&amp;"【颜色】"&amp;'生成规范'!$B$10&amp;"；"&amp;'生成规范'!$B$11&amp;CHAR(10)&amp;"【输出规则】"&amp;'生成规范'!$B$12&amp;" 后处理对齐尺寸与轴点；交付用途："&amp;H221&amp;CHAR(10)&amp;"【禁止项】"&amp;'生成规范'!$B$9&amp;"；"&amp;INDEX('素材需求'!$N$8:$N$119,MATCH(B221,'素材需求'!$A$8:$A$119,0))</x:f>
        <x:v>【交付文件】nm_v2_env_n04_notification_station_status_strip.png
【本张任务】通知终端独立提示光段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【单张范围】本次只画512×512配准画布内一小条中性黄白提示光，周围透明，不画钟针或报警字；单件独立PNG，不附其他同组部件、人物或背景。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窄高监听音箱、方圆角通知屏、独立中性提示光段；明黄/橙黄点缀，红色只留小提示位。旧钟表不再作为主设备；波形、循环标签和实际通知由运行时或污染层提供。
【参考对象】现代广播监听室的窄高音箱、方圆角通知终端与独立提示灯条，参考播报设备轮廓，以黄橙点缀区分叮咚鸡房。只参考结构，按本版色板绘制为二维正交侧视素材，不照搬对象的原配色、品牌或文字。
【制作规格】512×512 px；单张RGBA透明PNG，sRGB，8bit；画布外缘和非主体区域透明。；音箱底边中心；通知屏与指示层同画布中心。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21" s="38" t="str">
        <x:v>本次只画512×512配准画布内一小条中性黄白提示光，周围透明，不画钟针或报警字；单件独立PNG，不附其他同组部件、人物或背景。</x:v>
      </x:c>
      <x:c r="F221" s="38" t="str">
        <x:f>INDEX('素材需求'!$G$8:$G$119,MATCH(B221,'素材需求'!$A$8:$A$119,0))</x:f>
        <x:v>现代广播监听室的窄高音箱、方圆角通知终端与独立提示灯条，参考播报设备轮廓，以黄橙点缀区分叮咚鸡房。只参考结构，按本版色板绘制为二维正交侧视素材，不照搬对象的原配色、品牌或文字。</x:v>
      </x:c>
      <x:c r="G221" s="38" t="str">
        <x:f>INDEX('素材需求'!$B$8:$B$119,MATCH(B221,'素材需求'!$A$8:$A$119,0))</x:f>
        <x:v>P0常态</x:v>
      </x:c>
      <x:c r="H221" s="38" t="str">
        <x:v>游戏拆件／贴图</x:v>
      </x:c>
      <x:c r="I221" s="38" t="str">
        <x:v>512×512 px；单张RGBA透明PNG，sRGB，8bit；画布外缘和非主体区域透明。</x:v>
      </x:c>
      <x:c r="J221" s="38" t="str">
        <x:v>art_delivery/nm_v2/environment/</x:v>
      </x:c>
      <x:c r="K221" s="45" t="str">
        <x:v>待生成</x:v>
      </x:c>
      <x:c r="L221" s="38" t="str">
        <x:v>status_strip</x:v>
      </x:c>
    </x:row>
    <x:row r="222" ht="285.75" customHeight="1">
      <x:c r="A222" s="37" t="str">
        <x:f>INDEX('素材需求'!$D$8:$D$119,MATCH(B222,'素材需求'!$A$8:$A$119,0))&amp;IF(L222="","","_"&amp;L222)&amp;".png"</x:f>
        <x:v>nm_v2_env_n05_soothing_station_soothing_unit.png</x:v>
      </x:c>
      <x:c r="B222" s="37" t="str">
        <x:v>ENV_V2_026</x:v>
      </x:c>
      <x:c r="C222" s="37" t="str">
        <x:v>幼态噪声安抚设备</x:v>
      </x:c>
      <x:c r="D222" s="37" t="str">
        <x:f>"【交付文件】"&amp;A222&amp;CHAR(10)&amp;"【本张任务】"&amp;C222&amp;CHAR(10)&amp;'生成规范'!$B$8&amp;CHAR(10)&amp;"【单张范围】"&amp;E222&amp;CHAR(10)&amp;"【本组造型约束】"&amp;INDEX('素材需求'!$F$8:$F$119,MATCH(B222,'素材需求'!$A$8:$A$119,0))&amp;CHAR(10)&amp;"【参考对象】"&amp;F222&amp;CHAR(10)&amp;"【制作规格】"&amp;I222&amp;"；"&amp;INDEX('素材需求'!$M$8:$M$119,MATCH(B222,'素材需求'!$A$8:$A$119,0))&amp;CHAR(10)&amp;"【颜色】"&amp;'生成规范'!$B$10&amp;"；"&amp;'生成规范'!$B$11&amp;CHAR(10)&amp;"【输出规则】"&amp;'生成规范'!$B$12&amp;" 后处理对齐尺寸与轴点；交付用途："&amp;H222&amp;CHAR(10)&amp;"【禁止项】"&amp;'生成规范'!$B$9&amp;"；"&amp;INDEX('素材需求'!$N$8:$N$119,MATCH(B222,'素材需求'!$A$8:$A$119,0))</x:f>
        <x:v>【交付文件】nm_v2_env_n05_soothing_station_soothing_unit.png
【本张任务】幼态噪声安抚设备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【单张范围】本次只画1024×768的一台低矮圆角浅蓝粉白安抚仪，软光安装槽和空白小屏，不画婴儿或企鹅；单件独立PNG，不附其他同组部件、人物或背景。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蓝、粉白、奶白的软角现代安抚设备，薄玻璃面板与柔和灯安装槽；独立情绪感应贴片。柔软可照护但仍是研究空间，不做婴儿品牌广告或冷库。不要预画情绪数值。
【参考对象】现代儿童听觉研究与安抚空间的圆角白蓝设备、柔光安装槽和情绪感应贴片，参考照护感与洁净外壳，不参考冷库或婴儿广告。只参考结构，按本版色板绘制为二维正交侧视素材，不照搬对象的原配色、品牌或文字。
【制作规格】1024×768 px；单张RGBA透明PNG，sRGB，8bit；画布外缘和非主体区域透明。；设备底边中心；监测贴片中心。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22" s="37" t="str">
        <x:v>本次只画1024×768的一台低矮圆角浅蓝粉白安抚仪，软光安装槽和空白小屏，不画婴儿或企鹅；单件独立PNG，不附其他同组部件、人物或背景。</x:v>
      </x:c>
      <x:c r="F222" s="37" t="str">
        <x:f>INDEX('素材需求'!$G$8:$G$119,MATCH(B222,'素材需求'!$A$8:$A$119,0))</x:f>
        <x:v>现代儿童听觉研究与安抚空间的圆角白蓝设备、柔光安装槽和情绪感应贴片，参考照护感与洁净外壳，不参考冷库或婴儿广告。只参考结构，按本版色板绘制为二维正交侧视素材，不照搬对象的原配色、品牌或文字。</x:v>
      </x:c>
      <x:c r="G222" s="37" t="str">
        <x:f>INDEX('素材需求'!$B$8:$B$119,MATCH(B222,'素材需求'!$A$8:$A$119,0))</x:f>
        <x:v>P0常态</x:v>
      </x:c>
      <x:c r="H222" s="37" t="str">
        <x:v>游戏拆件／贴图</x:v>
      </x:c>
      <x:c r="I222" s="37" t="str">
        <x:v>1024×768 px；单张RGBA透明PNG，sRGB，8bit；画布外缘和非主体区域透明。</x:v>
      </x:c>
      <x:c r="J222" s="37" t="str">
        <x:v>art_delivery/nm_v2/environment/</x:v>
      </x:c>
      <x:c r="K222" s="45" t="str">
        <x:v>待生成</x:v>
      </x:c>
      <x:c r="L222" s="37" t="str">
        <x:v>soothing_unit</x:v>
      </x:c>
    </x:row>
    <x:row r="223" ht="285.75" customHeight="1">
      <x:c r="A223" s="38" t="str">
        <x:f>INDEX('素材需求'!$D$8:$D$119,MATCH(B223,'素材需求'!$A$8:$A$119,0))&amp;IF(L223="","","_"&amp;L223)&amp;".png"</x:f>
        <x:v>nm_v2_env_n05_soothing_station_emotion_sensor.png</x:v>
      </x:c>
      <x:c r="B223" s="38" t="str">
        <x:v>ENV_V2_026</x:v>
      </x:c>
      <x:c r="C223" s="38" t="str">
        <x:v>柔色情绪感应贴片</x:v>
      </x:c>
      <x:c r="D223" s="38" t="str">
        <x:f>"【交付文件】"&amp;A223&amp;CHAR(10)&amp;"【本张任务】"&amp;C223&amp;CHAR(10)&amp;'生成规范'!$B$8&amp;CHAR(10)&amp;"【单张范围】"&amp;E223&amp;CHAR(10)&amp;"【本组造型约束】"&amp;INDEX('素材需求'!$F$8:$F$119,MATCH(B223,'素材需求'!$A$8:$A$119,0))&amp;CHAR(10)&amp;"【参考对象】"&amp;F223&amp;CHAR(10)&amp;"【制作规格】"&amp;I223&amp;"；"&amp;INDEX('素材需求'!$M$8:$M$119,MATCH(B223,'素材需求'!$A$8:$A$119,0))&amp;CHAR(10)&amp;"【颜色】"&amp;'生成规范'!$B$10&amp;"；"&amp;'生成规范'!$B$11&amp;CHAR(10)&amp;"【输出规则】"&amp;'生成规范'!$B$12&amp;" 后处理对齐尺寸与轴点；交付用途："&amp;H223&amp;CHAR(10)&amp;"【禁止项】"&amp;'生成规范'!$B$9&amp;"；"&amp;INDEX('素材需求'!$N$8:$N$119,MATCH(B223,'素材需求'!$A$8:$A$119,0))</x:f>
        <x:v>【交付文件】nm_v2_env_n05_soothing_station_emotion_sensor.png
【本张任务】柔色情绪感应贴片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【单张范围】本次只画512×512的一只浅蓝粉白扁平情绪传感器，软圆角玻璃表面，不画冰霜或情绪数字；单件独立PNG，不附其他同组部件、人物或背景。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浅蓝、粉白、奶白的软角现代安抚设备，薄玻璃面板与柔和灯安装槽；独立情绪感应贴片。柔软可照护但仍是研究空间，不做婴儿品牌广告或冷库。不要预画情绪数值。
【参考对象】现代儿童听觉研究与安抚空间的圆角白蓝设备、柔光安装槽和情绪感应贴片，参考照护感与洁净外壳，不参考冷库或婴儿广告。只参考结构，按本版色板绘制为二维正交侧视素材，不照搬对象的原配色、品牌或文字。
【制作规格】512×512 px；单张RGBA透明PNG，sRGB，8bit；画布外缘和非主体区域透明。；设备底边中心；监测贴片中心。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23" s="38" t="str">
        <x:v>本次只画512×512的一只浅蓝粉白扁平情绪传感器，软圆角玻璃表面，不画冰霜或情绪数字；单件独立PNG，不附其他同组部件、人物或背景。</x:v>
      </x:c>
      <x:c r="F223" s="38" t="str">
        <x:f>INDEX('素材需求'!$G$8:$G$119,MATCH(B223,'素材需求'!$A$8:$A$119,0))</x:f>
        <x:v>现代儿童听觉研究与安抚空间的圆角白蓝设备、柔光安装槽和情绪感应贴片，参考照护感与洁净外壳，不参考冷库或婴儿广告。只参考结构，按本版色板绘制为二维正交侧视素材，不照搬对象的原配色、品牌或文字。</x:v>
      </x:c>
      <x:c r="G223" s="38" t="str">
        <x:f>INDEX('素材需求'!$B$8:$B$119,MATCH(B223,'素材需求'!$A$8:$A$119,0))</x:f>
        <x:v>P0常态</x:v>
      </x:c>
      <x:c r="H223" s="38" t="str">
        <x:v>游戏拆件／贴图</x:v>
      </x:c>
      <x:c r="I223" s="38" t="str">
        <x:v>512×512 px；单张RGBA透明PNG，sRGB，8bit；画布外缘和非主体区域透明。</x:v>
      </x:c>
      <x:c r="J223" s="38" t="str">
        <x:v>art_delivery/nm_v2/environment/</x:v>
      </x:c>
      <x:c r="K223" s="45" t="str">
        <x:v>待生成</x:v>
      </x:c>
      <x:c r="L223" s="38" t="str">
        <x:v>emotion_sensor</x:v>
      </x:c>
    </x:row>
    <x:row r="224" ht="285.75" customHeight="1">
      <x:c r="A224" s="37" t="str">
        <x:f>INDEX('素材需求'!$D$8:$D$119,MATCH(B224,'素材需求'!$A$8:$A$119,0))&amp;IF(L224="","","_"&amp;L224)&amp;".png"</x:f>
        <x:v>nm_v2_env_infrastructure_void_void_tile.png</x:v>
      </x:c>
      <x:c r="B224" s="37" t="str">
        <x:v>ENV_V2_027</x:v>
      </x:c>
      <x:c r="C224" s="37" t="str">
        <x:v>设施深蓝灰可平铺底</x:v>
      </x:c>
      <x:c r="D224" s="37" t="str">
        <x:f>"【交付文件】"&amp;A224&amp;CHAR(10)&amp;"【本张任务】"&amp;C224&amp;CHAR(10)&amp;'生成规范'!$B$8&amp;CHAR(10)&amp;"【单张范围】"&amp;E224&amp;CHAR(10)&amp;"【本组造型约束】"&amp;INDEX('素材需求'!$F$8:$F$119,MATCH(B224,'素材需求'!$A$8:$A$119,0))&amp;CHAR(10)&amp;"【参考对象】"&amp;F224&amp;CHAR(10)&amp;"【制作规格】"&amp;I224&amp;"；"&amp;INDEX('素材需求'!$M$8:$M$119,MATCH(B224,'素材需求'!$A$8:$A$119,0))&amp;CHAR(10)&amp;"【颜色】"&amp;'生成规范'!$B$10&amp;"；"&amp;'生成规范'!$B$11&amp;CHAR(10)&amp;"【输出规则】"&amp;'生成规范'!$B$12&amp;" 后处理对齐尺寸与轴点；交付用途："&amp;H224&amp;CHAR(10)&amp;"【禁止项】"&amp;'生成规范'!$B$9&amp;"；"&amp;INDEX('素材需求'!$N$8:$N$119,MATCH(B224,'素材需求'!$A$8:$A$119,0))</x:f>
        <x:v>【交付文件】nm_v2_env_infrastructure_void_void_tile.png
【本张任务】设施深蓝灰可平铺底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【单张范围】本次只画2048×2048的一张深蓝灰低频纵深纹理，四边连续，不画结构柱、灯、房间或路；单件独立PNG，不附其他同组部件、人物或背景。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单张低频深蓝灰空腔底纹，只表达现代大型设施的纵深；色值围绕#12161C/#1E2630。房内保持更明亮，不能整体黑到压抑，也不能把远景画成另一个可走场景。
【参考对象】现代大型研究机构设备层之间的深蓝灰结构空腔、低对比建筑纵深，参考明暗层次，不画任何完整房间或可走楼层。只参考结构，按本版色板绘制为二维正交侧视素材，不照搬对象的原配色、品牌或文字。
【制作规格】2048×2048 px；单张RGB不透明PNG，sRGB，8bit；平铺背景，无透明留边。；左上(0,0)。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24" s="37" t="str">
        <x:v>本次只画2048×2048的一张深蓝灰低频纵深纹理，四边连续，不画结构柱、灯、房间或路；单件独立PNG，不附其他同组部件、人物或背景。</x:v>
      </x:c>
      <x:c r="F224" s="37" t="str">
        <x:f>INDEX('素材需求'!$G$8:$G$119,MATCH(B224,'素材需求'!$A$8:$A$119,0))</x:f>
        <x:v>现代大型研究机构设备层之间的深蓝灰结构空腔、低对比建筑纵深，参考明暗层次，不画任何完整房间或可走楼层。只参考结构，按本版色板绘制为二维正交侧视素材，不照搬对象的原配色、品牌或文字。</x:v>
      </x:c>
      <x:c r="G224" s="37" t="str">
        <x:f>INDEX('素材需求'!$B$8:$B$119,MATCH(B224,'素材需求'!$A$8:$A$119,0))</x:f>
        <x:v>P0常态</x:v>
      </x:c>
      <x:c r="H224" s="37" t="str">
        <x:v>游戏拆件／贴图</x:v>
      </x:c>
      <x:c r="I224" s="37" t="str">
        <x:v>2048×2048 px；单张RGB不透明PNG，sRGB，8bit；平铺背景，无透明留边。</x:v>
      </x:c>
      <x:c r="J224" s="37" t="str">
        <x:v>art_delivery/nm_v2/environment/</x:v>
      </x:c>
      <x:c r="K224" s="45" t="str">
        <x:v>待生成</x:v>
      </x:c>
      <x:c r="L224" s="37" t="str">
        <x:v>void_tile</x:v>
      </x:c>
    </x:row>
    <x:row r="225" ht="285.75" customHeight="1">
      <x:c r="A225" s="38" t="str">
        <x:f>INDEX('素材需求'!$D$8:$D$119,MATCH(B225,'素材需求'!$A$8:$A$119,0))&amp;IF(L225="","","_"&amp;L225)&amp;".png"</x:f>
        <x:v>nm_v2_env_distant_framework_column_crossbeam.png</x:v>
      </x:c>
      <x:c r="B225" s="38" t="str">
        <x:v>ENV_V2_028</x:v>
      </x:c>
      <x:c r="C225" s="38" t="str">
        <x:v>远景竖柱联梁</x:v>
      </x:c>
      <x:c r="D225" s="38" t="str">
        <x:f>"【交付文件】"&amp;A225&amp;CHAR(10)&amp;"【本张任务】"&amp;C225&amp;CHAR(10)&amp;'生成规范'!$B$8&amp;CHAR(10)&amp;"【单张范围】"&amp;E225&amp;CHAR(10)&amp;"【本组造型约束】"&amp;INDEX('素材需求'!$F$8:$F$119,MATCH(B225,'素材需求'!$A$8:$A$119,0))&amp;CHAR(10)&amp;"【参考对象】"&amp;F225&amp;CHAR(10)&amp;"【制作规格】"&amp;I225&amp;"；"&amp;INDEX('素材需求'!$M$8:$M$119,MATCH(B225,'素材需求'!$A$8:$A$119,0))&amp;CHAR(10)&amp;"【颜色】"&amp;'生成规范'!$B$10&amp;"；"&amp;'生成规范'!$B$11&amp;CHAR(10)&amp;"【输出规则】"&amp;'生成规范'!$B$12&amp;" 后处理对齐尺寸与轴点；交付用途："&amp;H225&amp;CHAR(10)&amp;"【禁止项】"&amp;'生成规范'!$B$9&amp;"；"&amp;INDEX('素材需求'!$N$8:$N$119,MATCH(B225,'素材需求'!$A$8:$A$119,0))</x:f>
        <x:v>【交付文件】nm_v2_env_distant_framework_column_crossbeam.png
【本张任务】远景竖柱联梁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【单张范围】本次只画512×2048的一组单体竖柱联梁，低对比深蓝灰，上下可延续，不画走道；单件独立PNG，不附其他同组部件、人物或背景。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低对比深蓝灰现代框架，干净梁柱和稀疏连接板；不得出现锈蚀吊链、矿井木架。比实际地板更暗且无可走标线，不让玩家误认捷径。
【参考对象】现代科研建筑远景钢结构竖柱联梁、低对比交叉支撑架，参考干净承重关系，不参考矿井木架或锈蚀厂房。只参考结构，按本版色板绘制为二维正交侧视素材，不照搬对象的原配色、品牌或文字。
【制作规格】512×2048 px；单张RGBA透明PNG，sRGB，8bit；画布外缘和非主体区域透明。；竖柱中轴下端；斜撑左下连接点。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25" s="38" t="str">
        <x:v>本次只画512×2048的一组单体竖柱联梁，低对比深蓝灰，上下可延续，不画走道；单件独立PNG，不附其他同组部件、人物或背景。</x:v>
      </x:c>
      <x:c r="F225" s="38" t="str">
        <x:f>INDEX('素材需求'!$G$8:$G$119,MATCH(B225,'素材需求'!$A$8:$A$119,0))</x:f>
        <x:v>现代科研建筑远景钢结构竖柱联梁、低对比交叉支撑架，参考干净承重关系，不参考矿井木架或锈蚀厂房。只参考结构，按本版色板绘制为二维正交侧视素材，不照搬对象的原配色、品牌或文字。</x:v>
      </x:c>
      <x:c r="G225" s="38" t="str">
        <x:f>INDEX('素材需求'!$B$8:$B$119,MATCH(B225,'素材需求'!$A$8:$A$119,0))</x:f>
        <x:v>P0常态</x:v>
      </x:c>
      <x:c r="H225" s="38" t="str">
        <x:v>游戏拆件／贴图</x:v>
      </x:c>
      <x:c r="I225" s="38" t="str">
        <x:v>512×2048 px；单张RGBA透明PNG，sRGB，8bit；画布外缘和非主体区域透明。</x:v>
      </x:c>
      <x:c r="J225" s="38" t="str">
        <x:v>art_delivery/nm_v2/environment/</x:v>
      </x:c>
      <x:c r="K225" s="45" t="str">
        <x:v>待生成</x:v>
      </x:c>
      <x:c r="L225" s="38" t="str">
        <x:v>column_crossbeam</x:v>
      </x:c>
    </x:row>
    <x:row r="226" ht="285.75" customHeight="1">
      <x:c r="A226" s="37" t="str">
        <x:f>INDEX('素材需求'!$D$8:$D$119,MATCH(B226,'素材需求'!$A$8:$A$119,0))&amp;IF(L226="","","_"&amp;L226)&amp;".png"</x:f>
        <x:v>nm_v2_env_distant_framework_diagonal_brace.png</x:v>
      </x:c>
      <x:c r="B226" s="37" t="str">
        <x:v>ENV_V2_028</x:v>
      </x:c>
      <x:c r="C226" s="37" t="str">
        <x:v>远景对角撑架</x:v>
      </x:c>
      <x:c r="D226" s="37" t="str">
        <x:f>"【交付文件】"&amp;A226&amp;CHAR(10)&amp;"【本张任务】"&amp;C226&amp;CHAR(10)&amp;'生成规范'!$B$8&amp;CHAR(10)&amp;"【单张范围】"&amp;E226&amp;CHAR(10)&amp;"【本组造型约束】"&amp;INDEX('素材需求'!$F$8:$F$119,MATCH(B226,'素材需求'!$A$8:$A$119,0))&amp;CHAR(10)&amp;"【参考对象】"&amp;F226&amp;CHAR(10)&amp;"【制作规格】"&amp;I226&amp;"；"&amp;INDEX('素材需求'!$M$8:$M$119,MATCH(B226,'素材需求'!$A$8:$A$119,0))&amp;CHAR(10)&amp;"【颜色】"&amp;'生成规范'!$B$10&amp;"；"&amp;'生成规范'!$B$11&amp;CHAR(10)&amp;"【输出规则】"&amp;'生成规范'!$B$12&amp;" 后处理对齐尺寸与轴点；交付用途："&amp;H226&amp;CHAR(10)&amp;"【禁止项】"&amp;'生成规范'!$B$9&amp;"；"&amp;INDEX('素材需求'!$N$8:$N$119,MATCH(B226,'素材需求'!$A$8:$A$119,0))</x:f>
        <x:v>【交付文件】nm_v2_env_distant_framework_diagonal_brace.png
【本张任务】远景对角撑架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【单张范围】本次只画1024×1024的一个低对比交叉支撑构件，简洁连接板，不画门窗或房间；单件独立PNG，不附其他同组部件、人物或背景。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低对比深蓝灰现代框架，干净梁柱和稀疏连接板；不得出现锈蚀吊链、矿井木架。比实际地板更暗且无可走标线，不让玩家误认捷径。
【参考对象】现代科研建筑远景钢结构竖柱联梁、低对比交叉支撑架，参考干净承重关系，不参考矿井木架或锈蚀厂房。只参考结构，按本版色板绘制为二维正交侧视素材，不照搬对象的原配色、品牌或文字。
【制作规格】1024×1024 px；单张RGBA透明PNG，sRGB，8bit；画布外缘和非主体区域透明。；竖柱中轴下端；斜撑左下连接点。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26" s="37" t="str">
        <x:v>本次只画1024×1024的一个低对比交叉支撑构件，简洁连接板，不画门窗或房间；单件独立PNG，不附其他同组部件、人物或背景。</x:v>
      </x:c>
      <x:c r="F226" s="37" t="str">
        <x:f>INDEX('素材需求'!$G$8:$G$119,MATCH(B226,'素材需求'!$A$8:$A$119,0))</x:f>
        <x:v>现代科研建筑远景钢结构竖柱联梁、低对比交叉支撑架，参考干净承重关系，不参考矿井木架或锈蚀厂房。只参考结构，按本版色板绘制为二维正交侧视素材，不照搬对象的原配色、品牌或文字。</x:v>
      </x:c>
      <x:c r="G226" s="37" t="str">
        <x:f>INDEX('素材需求'!$B$8:$B$119,MATCH(B226,'素材需求'!$A$8:$A$119,0))</x:f>
        <x:v>P0常态</x:v>
      </x:c>
      <x:c r="H226" s="37" t="str">
        <x:v>游戏拆件／贴图</x:v>
      </x:c>
      <x:c r="I226" s="37" t="str">
        <x:v>1024×1024 px；单张RGBA透明PNG，sRGB，8bit；画布外缘和非主体区域透明。</x:v>
      </x:c>
      <x:c r="J226" s="37" t="str">
        <x:v>art_delivery/nm_v2/environment/</x:v>
      </x:c>
      <x:c r="K226" s="45" t="str">
        <x:v>待生成</x:v>
      </x:c>
      <x:c r="L226" s="37" t="str">
        <x:v>diagonal_brace</x:v>
      </x:c>
    </x:row>
    <x:row r="227" ht="285.75" customHeight="1">
      <x:c r="A227" s="38" t="str">
        <x:f>INDEX('素材需求'!$D$8:$D$119,MATCH(B227,'素材需求'!$A$8:$A$119,0))&amp;IF(L227="","","_"&amp;L227)&amp;".png"</x:f>
        <x:v>nm_v2_env_access_reader_reader.png</x:v>
      </x:c>
      <x:c r="B227" s="38" t="str">
        <x:v>ENV_V2_029</x:v>
      </x:c>
      <x:c r="C227" s="38" t="str">
        <x:v>门禁读卡器</x:v>
      </x:c>
      <x:c r="D227" s="38" t="str">
        <x:f>"【交付文件】"&amp;A227&amp;CHAR(10)&amp;"【本张任务】"&amp;C227&amp;CHAR(10)&amp;'生成规范'!$B$8&amp;CHAR(10)&amp;"【单张范围】"&amp;E227&amp;CHAR(10)&amp;"【本组造型约束】"&amp;INDEX('素材需求'!$F$8:$F$119,MATCH(B227,'素材需求'!$A$8:$A$119,0))&amp;CHAR(10)&amp;"【参考对象】"&amp;F227&amp;CHAR(10)&amp;"【制作规格】"&amp;I227&amp;"；"&amp;INDEX('素材需求'!$M$8:$M$119,MATCH(B227,'素材需求'!$A$8:$A$119,0))&amp;CHAR(10)&amp;"【颜色】"&amp;'生成规范'!$B$10&amp;"；"&amp;'生成规范'!$B$11&amp;CHAR(10)&amp;"【输出规则】"&amp;'生成规范'!$B$12&amp;" 后处理对齐尺寸与轴点；交付用途："&amp;H227&amp;CHAR(10)&amp;"【禁止项】"&amp;'生成规范'!$B$9&amp;"；"&amp;INDEX('素材需求'!$N$8:$N$119,MATCH(B227,'素材需求'!$A$8:$A$119,0))</x:f>
        <x:v>【交付文件】nm_v2_env_access_reader_reader.png
【本张任务】门禁读卡器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【单张范围】本次只画512×768的一只窄圆角现代门禁读卡器，玻璃触面与小安装背板，不含凭证或刷卡手；单件独立PNG，不附其他同组部件、人物或背景。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门禁读卡器和独立三槽窄状态灯座；冷白/蓝灰，留空状态区供运行时着色。读卡器不显示扫描卡片动画、二维码或凭证。状态灯资产是中性载体，不提前画成通行或失效两套相互矛盾画面。
【参考对象】现代实验室门禁读卡器、窄型状态灯条及墙挂安装背板，参考清楚的独立小设备轮廓，不画凭证或品牌界面。只参考结构，按本版色板绘制为二维正交侧视素材，不照搬对象的原配色、品牌或文字。
【制作规格】512×768 px；单张RGBA透明PNG，sRGB，8bit；画布外缘和非主体区域透明。；读卡器墙挂安装点；灯座下方安装中心。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27" s="38" t="str">
        <x:v>本次只画512×768的一只窄圆角现代门禁读卡器，玻璃触面与小安装背板，不含凭证或刷卡手；单件独立PNG，不附其他同组部件、人物或背景。</x:v>
      </x:c>
      <x:c r="F227" s="38" t="str">
        <x:f>INDEX('素材需求'!$G$8:$G$119,MATCH(B227,'素材需求'!$A$8:$A$119,0))</x:f>
        <x:v>现代实验室门禁读卡器、窄型状态灯条及墙挂安装背板，参考清楚的独立小设备轮廓，不画凭证或品牌界面。只参考结构，按本版色板绘制为二维正交侧视素材，不照搬对象的原配色、品牌或文字。</x:v>
      </x:c>
      <x:c r="G227" s="38" t="str">
        <x:f>INDEX('素材需求'!$B$8:$B$119,MATCH(B227,'素材需求'!$A$8:$A$119,0))</x:f>
        <x:v>P0常态</x:v>
      </x:c>
      <x:c r="H227" s="38" t="str">
        <x:v>游戏拆件／贴图</x:v>
      </x:c>
      <x:c r="I227" s="38" t="str">
        <x:v>512×768 px；单张RGBA透明PNG，sRGB，8bit；画布外缘和非主体区域透明。</x:v>
      </x:c>
      <x:c r="J227" s="38" t="str">
        <x:v>art_delivery/nm_v2/environment/</x:v>
      </x:c>
      <x:c r="K227" s="45" t="str">
        <x:v>待生成</x:v>
      </x:c>
      <x:c r="L227" s="38" t="str">
        <x:v>reader</x:v>
      </x:c>
    </x:row>
    <x:row r="228" ht="285.75" customHeight="1">
      <x:c r="A228" s="37" t="str">
        <x:f>INDEX('素材需求'!$D$8:$D$119,MATCH(B228,'素材需求'!$A$8:$A$119,0))&amp;IF(L228="","","_"&amp;L228)&amp;".png"</x:f>
        <x:v>nm_v2_env_access_reader_indicator.png</x:v>
      </x:c>
      <x:c r="B228" s="37" t="str">
        <x:v>ENV_V2_029</x:v>
      </x:c>
      <x:c r="C228" s="37" t="str">
        <x:v>门状态灯座</x:v>
      </x:c>
      <x:c r="D228" s="37" t="str">
        <x:f>"【交付文件】"&amp;A228&amp;CHAR(10)&amp;"【本张任务】"&amp;C228&amp;CHAR(10)&amp;'生成规范'!$B$8&amp;CHAR(10)&amp;"【单张范围】"&amp;E228&amp;CHAR(10)&amp;"【本组造型约束】"&amp;INDEX('素材需求'!$F$8:$F$119,MATCH(B228,'素材需求'!$A$8:$A$119,0))&amp;CHAR(10)&amp;"【参考对象】"&amp;F228&amp;CHAR(10)&amp;"【制作规格】"&amp;I228&amp;"；"&amp;INDEX('素材需求'!$M$8:$M$119,MATCH(B228,'素材需求'!$A$8:$A$119,0))&amp;CHAR(10)&amp;"【颜色】"&amp;'生成规范'!$B$10&amp;"；"&amp;'生成规范'!$B$11&amp;CHAR(10)&amp;"【输出规则】"&amp;'生成规范'!$B$12&amp;" 后处理对齐尺寸与轴点；交付用途："&amp;H228&amp;CHAR(10)&amp;"【禁止项】"&amp;'生成规范'!$B$9&amp;"；"&amp;INDEX('素材需求'!$N$8:$N$119,MATCH(B228,'素材需求'!$A$8:$A$119,0))</x:f>
        <x:v>【交付文件】nm_v2_env_access_reader_indicator.png
【本张任务】门状态灯座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【单张范围】本次只画512×256的一只薄三槽指示灯座，槽面保持中性，无遮挡光晕，不画数字或标语；单件独立PNG，不附其他同组部件、人物或背景。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现代门禁读卡器和独立三槽窄状态灯座；冷白/蓝灰，留空状态区供运行时着色。读卡器不显示扫描卡片动画、二维码或凭证。状态灯资产是中性载体，不提前画成通行或失效两套相互矛盾画面。
【参考对象】现代实验室门禁读卡器、窄型状态灯条及墙挂安装背板，参考清楚的独立小设备轮廓，不画凭证或品牌界面。只参考结构，按本版色板绘制为二维正交侧视素材，不照搬对象的原配色、品牌或文字。
【制作规格】512×256 px；单张RGBA透明PNG，sRGB，8bit；画布外缘和非主体区域透明。；读卡器墙挂安装点；灯座下方安装中心。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28" s="37" t="str">
        <x:v>本次只画512×256的一只薄三槽指示灯座，槽面保持中性，无遮挡光晕，不画数字或标语；单件独立PNG，不附其他同组部件、人物或背景。</x:v>
      </x:c>
      <x:c r="F228" s="37" t="str">
        <x:f>INDEX('素材需求'!$G$8:$G$119,MATCH(B228,'素材需求'!$A$8:$A$119,0))</x:f>
        <x:v>现代实验室门禁读卡器、窄型状态灯条及墙挂安装背板，参考清楚的独立小设备轮廓，不画凭证或品牌界面。只参考结构，按本版色板绘制为二维正交侧视素材，不照搬对象的原配色、品牌或文字。</x:v>
      </x:c>
      <x:c r="G228" s="37" t="str">
        <x:f>INDEX('素材需求'!$B$8:$B$119,MATCH(B228,'素材需求'!$A$8:$A$119,0))</x:f>
        <x:v>P0常态</x:v>
      </x:c>
      <x:c r="H228" s="37" t="str">
        <x:v>游戏拆件／贴图</x:v>
      </x:c>
      <x:c r="I228" s="37" t="str">
        <x:v>512×256 px；单张RGBA透明PNG，sRGB，8bit；画布外缘和非主体区域透明。</x:v>
      </x:c>
      <x:c r="J228" s="37" t="str">
        <x:v>art_delivery/nm_v2/environment/</x:v>
      </x:c>
      <x:c r="K228" s="45" t="str">
        <x:v>待生成</x:v>
      </x:c>
      <x:c r="L228" s="37" t="str">
        <x:v>indicator</x:v>
      </x:c>
    </x:row>
    <x:row r="229" ht="285.75" customHeight="1">
      <x:c r="A229" s="38" t="str">
        <x:f>INDEX('素材需求'!$D$8:$D$119,MATCH(B229,'素材需求'!$A$8:$A$119,0))&amp;IF(L229="","","_"&amp;L229)&amp;".png"</x:f>
        <x:v>nm_v2_env_maintenance_station_cabinet.png</x:v>
      </x:c>
      <x:c r="B229" s="38" t="str">
        <x:v>ENV_V2_030</x:v>
      </x:c>
      <x:c r="C229" s="38" t="str">
        <x:v>维护工具柜</x:v>
      </x:c>
      <x:c r="D229" s="38" t="str">
        <x:f>"【交付文件】"&amp;A229&amp;CHAR(10)&amp;"【本张任务】"&amp;C229&amp;CHAR(10)&amp;'生成规范'!$B$8&amp;CHAR(10)&amp;"【单张范围】"&amp;E229&amp;CHAR(10)&amp;"【本组造型约束】"&amp;INDEX('素材需求'!$F$8:$F$119,MATCH(B229,'素材需求'!$A$8:$A$119,0))&amp;CHAR(10)&amp;"【参考对象】"&amp;F229&amp;CHAR(10)&amp;"【制作规格】"&amp;I229&amp;"；"&amp;INDEX('素材需求'!$M$8:$M$119,MATCH(B229,'素材需求'!$A$8:$A$119,0))&amp;CHAR(10)&amp;"【颜色】"&amp;'生成规范'!$B$10&amp;"；"&amp;'生成规范'!$B$11&amp;CHAR(10)&amp;"【输出规则】"&amp;'生成规范'!$B$12&amp;" 后处理对齐尺寸与轴点；交付用途："&amp;H229&amp;CHAR(10)&amp;"【禁止项】"&amp;'生成规范'!$B$9&amp;"；"&amp;INDEX('素材需求'!$N$8:$N$119,MATCH(B229,'素材需求'!$A$8:$A$119,0))</x:f>
        <x:v>【交付文件】nm_v2_env_maintenance_station_cabinet.png
【本张任务】维护工具柜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【单张范围】本次只画768×1024的一台窄高现代维护工具柜，蓝灰箱体、清楚抽屉和简洁检修把手；单件独立PNG，不附其他同组部件、人物或背景。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洁净蓝灰工程维护柜、工具化的标准停靠板，清楚封闭抽屉、检修把手与两三件整齐固定的小工具；避免旧军工箱、油渍和夸张电弧。工具板是一个静态设备单元，不要求拆每把工具，不能暗示可拾取武器。
【参考对象】现代工程维护间的整洁工具柜、墙面工具停靠板和标准检修把手，参考封闭收纳与固定小工具，不参考军械柜或油污车间。只参考结构，按本版色板绘制为二维正交侧视素材，不照搬对象的原配色、品牌或文字。
【制作规格】768×1024 px；单张RGBA透明PNG，sRGB，8bit；画布外缘和非主体区域透明。；柜体底边中心；工具板上边墙挂安装点。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29" s="38" t="str">
        <x:v>本次只画768×1024的一台窄高现代维护工具柜，蓝灰箱体、清楚抽屉和简洁检修把手；单件独立PNG，不附其他同组部件、人物或背景。</x:v>
      </x:c>
      <x:c r="F229" s="38" t="str">
        <x:f>INDEX('素材需求'!$G$8:$G$119,MATCH(B229,'素材需求'!$A$8:$A$119,0))</x:f>
        <x:v>现代工程维护间的整洁工具柜、墙面工具停靠板和标准检修把手，参考封闭收纳与固定小工具，不参考军械柜或油污车间。只参考结构，按本版色板绘制为二维正交侧视素材，不照搬对象的原配色、品牌或文字。</x:v>
      </x:c>
      <x:c r="G229" s="38" t="str">
        <x:f>INDEX('素材需求'!$B$8:$B$119,MATCH(B229,'素材需求'!$A$8:$A$119,0))</x:f>
        <x:v>P0常态</x:v>
      </x:c>
      <x:c r="H229" s="38" t="str">
        <x:v>游戏拆件／贴图</x:v>
      </x:c>
      <x:c r="I229" s="38" t="str">
        <x:v>768×1024 px；单张RGBA透明PNG，sRGB，8bit；画布外缘和非主体区域透明。</x:v>
      </x:c>
      <x:c r="J229" s="38" t="str">
        <x:v>art_delivery/nm_v2/environment/</x:v>
      </x:c>
      <x:c r="K229" s="45" t="str">
        <x:v>待生成</x:v>
      </x:c>
      <x:c r="L229" s="38" t="str">
        <x:v>cabinet</x:v>
      </x:c>
    </x:row>
    <x:row r="230" ht="285.75" customHeight="1">
      <x:c r="A230" s="37" t="str">
        <x:f>INDEX('素材需求'!$D$8:$D$119,MATCH(B230,'素材需求'!$A$8:$A$119,0))&amp;IF(L230="","","_"&amp;L230)&amp;".png"</x:f>
        <x:v>nm_v2_env_maintenance_station_tool_dock.png</x:v>
      </x:c>
      <x:c r="B230" s="37" t="str">
        <x:v>ENV_V2_030</x:v>
      </x:c>
      <x:c r="C230" s="37" t="str">
        <x:v>墙挂工具停靠板</x:v>
      </x:c>
      <x:c r="D230" s="37" t="str">
        <x:f>"【交付文件】"&amp;A230&amp;CHAR(10)&amp;"【本张任务】"&amp;C230&amp;CHAR(10)&amp;'生成规范'!$B$8&amp;CHAR(10)&amp;"【单张范围】"&amp;E230&amp;CHAR(10)&amp;"【本组造型约束】"&amp;INDEX('素材需求'!$F$8:$F$119,MATCH(B230,'素材需求'!$A$8:$A$119,0))&amp;CHAR(10)&amp;"【参考对象】"&amp;F230&amp;CHAR(10)&amp;"【制作规格】"&amp;I230&amp;"；"&amp;INDEX('素材需求'!$M$8:$M$119,MATCH(B230,'素材需求'!$A$8:$A$119,0))&amp;CHAR(10)&amp;"【颜色】"&amp;'生成规范'!$B$10&amp;"；"&amp;'生成规范'!$B$11&amp;CHAR(10)&amp;"【输出规则】"&amp;'生成规范'!$B$12&amp;" 后处理对齐尺寸与轴点；交付用途："&amp;H230&amp;CHAR(10)&amp;"【禁止项】"&amp;'生成规范'!$B$9&amp;"；"&amp;INDEX('素材需求'!$N$8:$N$119,MATCH(B230,'素材需求'!$A$8:$A$119,0))</x:f>
        <x:v>【交付文件】nm_v2_env_maintenance_station_tool_dock.png
【本张任务】墙挂工具停靠板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【单张范围】本次只画768×1024的一块整洁墙挂工具停靠板，含两三件固定的小维护工具，单个完整装饰设备；单件独立PNG，不附其他同组部件、人物或背景。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洁净蓝灰工程维护柜、工具化的标准停靠板，清楚封闭抽屉、检修把手与两三件整齐固定的小工具；避免旧军工箱、油渍和夸张电弧。工具板是一个静态设备单元，不要求拆每把工具，不能暗示可拾取武器。
【参考对象】现代工程维护间的整洁工具柜、墙面工具停靠板和标准检修把手，参考封闭收纳与固定小工具，不参考军械柜或油污车间。只参考结构，按本版色板绘制为二维正交侧视素材，不照搬对象的原配色、品牌或文字。
【制作规格】768×1024 px；单张RGBA透明PNG，sRGB，8bit；画布外缘和非主体区域透明。；柜体底边中心；工具板上边墙挂安装点。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30" s="37" t="str">
        <x:v>本次只画768×1024的一块整洁墙挂工具停靠板，含两三件固定的小维护工具，单个完整装饰设备；单件独立PNG，不附其他同组部件、人物或背景。</x:v>
      </x:c>
      <x:c r="F230" s="37" t="str">
        <x:f>INDEX('素材需求'!$G$8:$G$119,MATCH(B230,'素材需求'!$A$8:$A$119,0))</x:f>
        <x:v>现代工程维护间的整洁工具柜、墙面工具停靠板和标准检修把手，参考封闭收纳与固定小工具，不参考军械柜或油污车间。只参考结构，按本版色板绘制为二维正交侧视素材，不照搬对象的原配色、品牌或文字。</x:v>
      </x:c>
      <x:c r="G230" s="37" t="str">
        <x:f>INDEX('素材需求'!$B$8:$B$119,MATCH(B230,'素材需求'!$A$8:$A$119,0))</x:f>
        <x:v>P0常态</x:v>
      </x:c>
      <x:c r="H230" s="37" t="str">
        <x:v>游戏拆件／贴图</x:v>
      </x:c>
      <x:c r="I230" s="37" t="str">
        <x:v>768×1024 px；单张RGBA透明PNG，sRGB，8bit；画布外缘和非主体区域透明。</x:v>
      </x:c>
      <x:c r="J230" s="37" t="str">
        <x:v>art_delivery/nm_v2/environment/</x:v>
      </x:c>
      <x:c r="K230" s="45" t="str">
        <x:v>待生成</x:v>
      </x:c>
      <x:c r="L230" s="37" t="str">
        <x:v>tool_dock</x:v>
      </x:c>
    </x:row>
    <x:row r="231" ht="285.75" customHeight="1">
      <x:c r="A231" s="38" t="str">
        <x:f>INDEX('素材需求'!$D$8:$D$119,MATCH(B231,'素材需求'!$A$8:$A$119,0))&amp;IF(L231="","","_"&amp;L231)&amp;".png"</x:f>
        <x:v>nm_v2_env_supply_dispenser_dispenser.png</x:v>
      </x:c>
      <x:c r="B231" s="38" t="str">
        <x:v>ENV_V2_031</x:v>
      </x:c>
      <x:c r="C231" s="38" t="str">
        <x:v>白蓝安全区补给机</x:v>
      </x:c>
      <x:c r="D231" s="38" t="str">
        <x:f>"【交付文件】"&amp;A231&amp;CHAR(10)&amp;"【本张任务】"&amp;C231&amp;CHAR(10)&amp;'生成规范'!$B$8&amp;CHAR(10)&amp;"【单张范围】"&amp;E231&amp;CHAR(10)&amp;"【本组造型约束】"&amp;INDEX('素材需求'!$F$8:$F$119,MATCH(B231,'素材需求'!$A$8:$A$119,0))&amp;CHAR(10)&amp;"【参考对象】"&amp;F231&amp;CHAR(10)&amp;"【制作规格】"&amp;I231&amp;"；"&amp;INDEX('素材需求'!$M$8:$M$119,MATCH(B231,'素材需求'!$A$8:$A$119,0))&amp;CHAR(10)&amp;"【颜色】"&amp;'生成规范'!$B$10&amp;"；"&amp;'生成规范'!$B$11&amp;CHAR(10)&amp;"【输出规则】"&amp;'生成规范'!$B$12&amp;" 后处理对齐尺寸与轴点；交付用途："&amp;H231&amp;CHAR(10)&amp;"【禁止项】"&amp;'生成规范'!$B$9&amp;"；"&amp;INDEX('素材需求'!$N$8:$N$119,MATCH(B231,'素材需求'!$A$8:$A$119,0))</x:f>
        <x:v>【交付文件】nm_v2_env_supply_dispenser_dispenser.png
【本张任务】白蓝安全区补给机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【单张范围】本次只画512×1024的一台窄高白蓝补给饮水机，完整底座与单个凹口，不画饮料品牌或广告；单件独立PNG，不附其他同组部件、人物或背景。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窄高冷白浅蓝密闭补给饮水机，舒适休息区气质，出水/取物凹口清楚但无品牌、价格、购买按钮或能量图标。低亮度工作灯，轻金属外壳。
【参考对象】现代医院休息区的白蓝补给饮水机、窄高取物凹口和轻金属底座，参考安全舒适的公共服务设备。只参考结构，按本版色板绘制为二维正交侧视素材，不照搬对象的原配色、品牌或文字。
【制作规格】512×1024 px；单张RGBA透明PNG，sRGB，8bit；画布外缘和非主体区域透明。；底边中心。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31" s="38" t="str">
        <x:v>本次只画512×1024的一台窄高白蓝补给饮水机，完整底座与单个凹口，不画饮料品牌或广告；单件独立PNG，不附其他同组部件、人物或背景。</x:v>
      </x:c>
      <x:c r="F231" s="38" t="str">
        <x:f>INDEX('素材需求'!$G$8:$G$119,MATCH(B231,'素材需求'!$A$8:$A$119,0))</x:f>
        <x:v>现代医院休息区的白蓝补给饮水机、窄高取物凹口和轻金属底座，参考安全舒适的公共服务设备。只参考结构，按本版色板绘制为二维正交侧视素材，不照搬对象的原配色、品牌或文字。</x:v>
      </x:c>
      <x:c r="G231" s="38" t="str">
        <x:f>INDEX('素材需求'!$B$8:$B$119,MATCH(B231,'素材需求'!$A$8:$A$119,0))</x:f>
        <x:v>P0常态</x:v>
      </x:c>
      <x:c r="H231" s="38" t="str">
        <x:v>游戏拆件／贴图</x:v>
      </x:c>
      <x:c r="I231" s="38" t="str">
        <x:v>512×1024 px；单张RGBA透明PNG，sRGB，8bit；画布外缘和非主体区域透明。</x:v>
      </x:c>
      <x:c r="J231" s="38" t="str">
        <x:v>art_delivery/nm_v2/environment/</x:v>
      </x:c>
      <x:c r="K231" s="45" t="str">
        <x:v>待生成</x:v>
      </x:c>
      <x:c r="L231" s="38" t="str">
        <x:v>dispenser</x:v>
      </x:c>
    </x:row>
    <x:row r="232" ht="285.75" customHeight="1">
      <x:c r="A232" s="37" t="str">
        <x:f>INDEX('素材需求'!$D$8:$D$119,MATCH(B232,'素材需求'!$A$8:$A$119,0))&amp;IF(L232="","","_"&amp;L232)&amp;".png"</x:f>
        <x:v>nm_v2_env_n01_soft_display_soft_object.png</x:v>
      </x:c>
      <x:c r="B232" s="37" t="str">
        <x:v>ENV_V2_032</x:v>
      </x:c>
      <x:c r="C232" s="37" t="str">
        <x:v>暖黄柔软观察物</x:v>
      </x:c>
      <x:c r="D232" s="37" t="str">
        <x:f>"【交付文件】"&amp;A232&amp;CHAR(10)&amp;"【本张任务】"&amp;C232&amp;CHAR(10)&amp;'生成规范'!$B$8&amp;CHAR(10)&amp;"【单张范围】"&amp;E232&amp;CHAR(10)&amp;"【本组造型约束】"&amp;INDEX('素材需求'!$F$8:$F$119,MATCH(B232,'素材需求'!$A$8:$A$119,0))&amp;CHAR(10)&amp;"【参考对象】"&amp;F232&amp;CHAR(10)&amp;"【制作规格】"&amp;I232&amp;"；"&amp;INDEX('素材需求'!$M$8:$M$119,MATCH(B232,'素材需求'!$A$8:$A$119,0))&amp;CHAR(10)&amp;"【颜色】"&amp;'生成规范'!$B$10&amp;"；"&amp;'生成规范'!$B$11&amp;CHAR(10)&amp;"【输出规则】"&amp;'生成规范'!$B$12&amp;" 后处理对齐尺寸与轴点；交付用途："&amp;H232&amp;CHAR(10)&amp;"【禁止项】"&amp;'生成规范'!$B$9&amp;"；"&amp;INDEX('素材需求'!$N$8:$N$119,MATCH(B232,'素材需求'!$A$8:$A$119,0))</x:f>
        <x:v>【交付文件】nm_v2_env_n01_soft_display_soft_object.png
【本张任务】暖黄柔软观察物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【单张范围】本次只画512×512的一件无脸暖黄圆角软质几何物，单个静物，底边清楚，不画多个玩具；单件独立PNG，不附其他同组部件、人物或背景。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奶白暖黄小型柔软几何观察物与独立透明亚克力陈列托架；柔和可爱但不把整个房间变为儿童乐园。几何软物不画成奶龙、IP角色、表情头或能误认成新异常的活物。
【参考对象】儿童内容研究室的小型柔软几何观察物、暖黄软积木和空的亚克力壁挂陈列架，参考静物软质感与透明托架，不画品牌玩具或角色。只参考结构，按本版色板绘制为二维正交侧视素材，不照搬对象的原配色、品牌或文字。
【制作规格】512×512 px；单张RGBA透明PNG，sRGB，8bit；画布外缘和非主体区域透明。；柔软物底边中心；壁架墙面安装边中点。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32" s="37" t="str">
        <x:v>本次只画512×512的一件无脸暖黄圆角软质几何物，单个静物，底边清楚，不画多个玩具；单件独立PNG，不附其他同组部件、人物或背景。</x:v>
      </x:c>
      <x:c r="F232" s="37" t="str">
        <x:f>INDEX('素材需求'!$G$8:$G$119,MATCH(B232,'素材需求'!$A$8:$A$119,0))</x:f>
        <x:v>儿童内容研究室的小型柔软几何观察物、暖黄软积木和空的亚克力壁挂陈列架，参考静物软质感与透明托架，不画品牌玩具或角色。只参考结构，按本版色板绘制为二维正交侧视素材，不照搬对象的原配色、品牌或文字。</x:v>
      </x:c>
      <x:c r="G232" s="37" t="str">
        <x:f>INDEX('素材需求'!$B$8:$B$119,MATCH(B232,'素材需求'!$A$8:$A$119,0))</x:f>
        <x:v>P0常态</x:v>
      </x:c>
      <x:c r="H232" s="37" t="str">
        <x:v>游戏拆件／贴图</x:v>
      </x:c>
      <x:c r="I232" s="37" t="str">
        <x:v>512×512 px；单张RGBA透明PNG，sRGB，8bit；画布外缘和非主体区域透明。</x:v>
      </x:c>
      <x:c r="J232" s="37" t="str">
        <x:v>art_delivery/nm_v2/environment/</x:v>
      </x:c>
      <x:c r="K232" s="45" t="str">
        <x:v>待生成</x:v>
      </x:c>
      <x:c r="L232" s="37" t="str">
        <x:v>soft_object</x:v>
      </x:c>
    </x:row>
    <x:row r="233" ht="285.75" customHeight="1">
      <x:c r="A233" s="38" t="str">
        <x:f>INDEX('素材需求'!$D$8:$D$119,MATCH(B233,'素材需求'!$A$8:$A$119,0))&amp;IF(L233="","","_"&amp;L233)&amp;".png"</x:f>
        <x:v>nm_v2_env_n01_soft_display_display_shelf.png</x:v>
      </x:c>
      <x:c r="B233" s="38" t="str">
        <x:v>ENV_V2_032</x:v>
      </x:c>
      <x:c r="C233" s="38" t="str">
        <x:v>独立亚克力陈列托架</x:v>
      </x:c>
      <x:c r="D233" s="38" t="str">
        <x:f>"【交付文件】"&amp;A233&amp;CHAR(10)&amp;"【本张任务】"&amp;C233&amp;CHAR(10)&amp;'生成规范'!$B$8&amp;CHAR(10)&amp;"【单张范围】"&amp;E233&amp;CHAR(10)&amp;"【本组造型约束】"&amp;INDEX('素材需求'!$F$8:$F$119,MATCH(B233,'素材需求'!$A$8:$A$119,0))&amp;CHAR(10)&amp;"【参考对象】"&amp;F233&amp;CHAR(10)&amp;"【制作规格】"&amp;I233&amp;"；"&amp;INDEX('素材需求'!$M$8:$M$119,MATCH(B233,'素材需求'!$A$8:$A$119,0))&amp;CHAR(10)&amp;"【颜色】"&amp;'生成规范'!$B$10&amp;"；"&amp;'生成规范'!$B$11&amp;CHAR(10)&amp;"【输出规则】"&amp;'生成规范'!$B$12&amp;" 后处理对齐尺寸与轴点；交付用途："&amp;H233&amp;CHAR(10)&amp;"【禁止项】"&amp;'生成规范'!$B$9&amp;"；"&amp;INDEX('素材需求'!$N$8:$N$119,MATCH(B233,'素材需求'!$A$8:$A$119,0))</x:f>
        <x:v>【交付文件】nm_v2_env_n01_soft_display_display_shelf.png
【本张任务】独立亚克力陈列托架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【单张范围】本次只画1024×512的一只浅灰透明亚克力壁挂托架，空架、安装位清楚，不画陈列物；单件独立PNG，不附其他同组部件、人物或背景。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奶白暖黄小型柔软几何观察物与独立透明亚克力陈列托架；柔和可爱但不把整个房间变为儿童乐园。几何软物不画成奶龙、IP角色、表情头或能误认成新异常的活物。
【参考对象】儿童内容研究室的小型柔软几何观察物、暖黄软积木和空的亚克力壁挂陈列架，参考静物软质感与透明托架，不画品牌玩具或角色。只参考结构，按本版色板绘制为二维正交侧视素材，不照搬对象的原配色、品牌或文字。
【制作规格】1024×512 px；单张RGBA透明PNG，sRGB，8bit；画布外缘和非主体区域透明。；柔软物底边中心；壁架墙面安装边中点。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33" s="38" t="str">
        <x:v>本次只画1024×512的一只浅灰透明亚克力壁挂托架，空架、安装位清楚，不画陈列物；单件独立PNG，不附其他同组部件、人物或背景。</x:v>
      </x:c>
      <x:c r="F233" s="38" t="str">
        <x:f>INDEX('素材需求'!$G$8:$G$119,MATCH(B233,'素材需求'!$A$8:$A$119,0))</x:f>
        <x:v>儿童内容研究室的小型柔软几何观察物、暖黄软积木和空的亚克力壁挂陈列架，参考静物软质感与透明托架，不画品牌玩具或角色。只参考结构，按本版色板绘制为二维正交侧视素材，不照搬对象的原配色、品牌或文字。</x:v>
      </x:c>
      <x:c r="G233" s="38" t="str">
        <x:f>INDEX('素材需求'!$B$8:$B$119,MATCH(B233,'素材需求'!$A$8:$A$119,0))</x:f>
        <x:v>P0常态</x:v>
      </x:c>
      <x:c r="H233" s="38" t="str">
        <x:v>游戏拆件／贴图</x:v>
      </x:c>
      <x:c r="I233" s="38" t="str">
        <x:v>1024×512 px；单张RGBA透明PNG，sRGB，8bit；画布外缘和非主体区域透明。</x:v>
      </x:c>
      <x:c r="J233" s="38" t="str">
        <x:v>art_delivery/nm_v2/environment/</x:v>
      </x:c>
      <x:c r="K233" s="45" t="str">
        <x:v>待生成</x:v>
      </x:c>
      <x:c r="L233" s="38" t="str">
        <x:v>display_shelf</x:v>
      </x:c>
    </x:row>
    <x:row r="234" ht="243" customHeight="1">
      <x:c r="A234" s="37" t="str">
        <x:f>INDEX('素材需求'!$D$8:$D$119,MATCH(B234,'素材需求'!$A$8:$A$119,0))&amp;IF(L234="","","_"&amp;L234)&amp;".png"</x:f>
        <x:v>nm_v2_ui_console_panel_blank.png</x:v>
      </x:c>
      <x:c r="B234" s="37" t="str">
        <x:v>NM_V2_UI_001</x:v>
      </x:c>
      <x:c r="C234" s="37" t="str">
        <x:v>通用无字面板</x:v>
      </x:c>
      <x:c r="D234" s="37" t="str">
        <x:f>"【交付文件】"&amp;A234&amp;CHAR(10)&amp;"【本张任务】"&amp;C234&amp;CHAR(10)&amp;'生成规范'!$B$8&amp;CHAR(10)&amp;"【单张范围】"&amp;E234&amp;CHAR(10)&amp;"【本组造型约束】"&amp;INDEX('素材需求'!$F$8:$F$119,MATCH(B234,'素材需求'!$A$8:$A$119,0))&amp;CHAR(10)&amp;"【参考对象】"&amp;F234&amp;CHAR(10)&amp;"【制作规格】"&amp;I234&amp;"；"&amp;INDEX('素材需求'!$M$8:$M$119,MATCH(B234,'素材需求'!$A$8:$A$119,0))&amp;CHAR(10)&amp;"【颜色】"&amp;'生成规范'!$B$10&amp;"；"&amp;'生成规范'!$B$11&amp;CHAR(10)&amp;"【输出规则】"&amp;'生成规范'!$B$12&amp;" 后处理对齐尺寸与轴点；交付用途："&amp;H234&amp;CHAR(10)&amp;"【禁止项】"&amp;'生成规范'!$B$9&amp;"；"&amp;INDEX('素材需求'!$N$8:$N$119,MATCH(B234,'素材需求'!$A$8:$A$119,0))</x:f>
        <x:v>【交付文件】nm_v2_ui_console_panel_blank.png
【本张任务】通用无字面板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【单张范围】本次只交一张独立PNG：一张空白冷灰控制台框；顶部与侧边均可拉伸，中心不分格。不拼图，不含其他单元。
【本组造型约束】常态统一深灰黑#12161C、蓝灰#1E2630、金属灰#39424E、冷白#D9E1EA、冷青蓝#57B8FF；扁平、清洁、克制、现代研究机构。一张可复用的简洁矩形底框，窄金属灰边与冷青极细分区线，中心至少85%安静留白；可半透明叠于背景，禁止烘焙横竖信息栏。顶栏、右栏、技能栏与日志外框共享此母版。
【参考对象】现代内容管理后台与科研中控台的通用空白面板；参考细线分区、冷灰底与足量留白，不复制任何品牌界面。
【制作规格】1024×1024 px；后处理九宫格，建议角区48 px待调；透明PNG（RGBA）；一单元一张独立图，非多格sheet。；容器左上(0,0)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34" s="37" t="str">
        <x:v>本次只交一张独立PNG：一张空白冷灰控制台框；顶部与侧边均可拉伸，中心不分格。不拼图，不含其他单元。</x:v>
      </x:c>
      <x:c r="F234" s="37" t="str">
        <x:f>INDEX('素材需求'!$G$8:$G$119,MATCH(B234,'素材需求'!$A$8:$A$119,0))</x:f>
        <x:v>现代内容管理后台与科研中控台的通用空白面板；参考细线分区、冷灰底与足量留白，不复制任何品牌界面。</x:v>
      </x:c>
      <x:c r="G234" s="37" t="str">
        <x:f>INDEX('素材需求'!$B$8:$B$119,MATCH(B234,'素材需求'!$A$8:$A$119,0))</x:f>
        <x:v>P0常态</x:v>
      </x:c>
      <x:c r="H234" s="37" t="str">
        <x:v>游戏拆件／贴图</x:v>
      </x:c>
      <x:c r="I234" s="37" t="str">
        <x:v>1024×1024 px；后处理九宫格，建议角区48 px待调；透明PNG（RGBA）；一单元一张独立图，非多格sheet。</x:v>
      </x:c>
      <x:c r="J234" s="37" t="str">
        <x:v>art_delivery/nm_v2/ui/</x:v>
      </x:c>
      <x:c r="K234" s="45" t="str">
        <x:v>待生成</x:v>
      </x:c>
      <x:c r="L234" s="37" t="str">
        <x:v>blank</x:v>
      </x:c>
    </x:row>
    <x:row r="235" ht="243" customHeight="1">
      <x:c r="A235" s="38" t="str">
        <x:f>INDEX('素材需求'!$D$8:$D$119,MATCH(B235,'素材需求'!$A$8:$A$119,0))&amp;IF(L235="","","_"&amp;L235)&amp;".png"</x:f>
        <x:v>nm_v2_ui_digital_record_panel_blank.png</x:v>
      </x:c>
      <x:c r="B235" s="38" t="str">
        <x:v>NM_V2_UI_002</x:v>
      </x:c>
      <x:c r="C235" s="38" t="str">
        <x:v>数字档案空白底板</x:v>
      </x:c>
      <x:c r="D235" s="38" t="str">
        <x:f>"【交付文件】"&amp;A235&amp;CHAR(10)&amp;"【本张任务】"&amp;C235&amp;CHAR(10)&amp;'生成规范'!$B$8&amp;CHAR(10)&amp;"【单张范围】"&amp;E235&amp;CHAR(10)&amp;"【本组造型约束】"&amp;INDEX('素材需求'!$F$8:$F$119,MATCH(B235,'素材需求'!$A$8:$A$119,0))&amp;CHAR(10)&amp;"【参考对象】"&amp;F235&amp;CHAR(10)&amp;"【制作规格】"&amp;I235&amp;"；"&amp;INDEX('素材需求'!$M$8:$M$119,MATCH(B235,'素材需求'!$A$8:$A$119,0))&amp;CHAR(10)&amp;"【颜色】"&amp;'生成规范'!$B$10&amp;"；"&amp;'生成规范'!$B$11&amp;CHAR(10)&amp;"【输出规则】"&amp;'生成规范'!$B$12&amp;" 后处理对齐尺寸与轴点；交付用途："&amp;H235&amp;CHAR(10)&amp;"【禁止项】"&amp;'生成规范'!$B$9&amp;"；"&amp;INDEX('素材需求'!$N$8:$N$119,MATCH(B235,'素材需求'!$A$8:$A$119,0))</x:f>
        <x:v>【交付文件】nm_v2_ui_digital_record_panel_blank.png
【本张任务】数字档案空白底板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【单张范围】本次只交一张独立PNG：一张现代数字资料弹窗底板，保留足量空白内容区。不拼图，不含其他单元。
【本组造型约束】常态统一深灰黑#12161C、蓝灰#1E2630、金属灰#39424E、冷白#D9E1EA、冷青蓝#57B8FF；扁平、清洁、克制、现代研究机构。数字资料终端空白底板；大面积均匀蓝灰/冷白内容底，窄页签承载带、清晰边缘、轻微玻璃分层感。无纸张、封条、手写批注和印章；所有标题、页签、关闭按钮与正文由程序排版，五物共享一个模板。
【参考对象】现代数字档案终端与资料阅读器；参考清洁电子页签、均匀正文底和窄边框，排除纸质卷宗、手写批注与印章。
【制作规格】1024×1024 px；后处理九宫格，建议角区40 px待调；透明PNG（RGBA）；一单元一张独立图，非多格sheet。；容器左上(0,0)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35" s="38" t="str">
        <x:v>本次只交一张独立PNG：一张现代数字资料弹窗底板，保留足量空白内容区。不拼图，不含其他单元。</x:v>
      </x:c>
      <x:c r="F235" s="38" t="str">
        <x:f>INDEX('素材需求'!$G$8:$G$119,MATCH(B235,'素材需求'!$A$8:$A$119,0))</x:f>
        <x:v>现代数字档案终端与资料阅读器；参考清洁电子页签、均匀正文底和窄边框，排除纸质卷宗、手写批注与印章。</x:v>
      </x:c>
      <x:c r="G235" s="38" t="str">
        <x:f>INDEX('素材需求'!$B$8:$B$119,MATCH(B235,'素材需求'!$A$8:$A$119,0))</x:f>
        <x:v>P0常态</x:v>
      </x:c>
      <x:c r="H235" s="38" t="str">
        <x:v>游戏拆件／贴图</x:v>
      </x:c>
      <x:c r="I235" s="38" t="str">
        <x:v>1024×1024 px；后处理九宫格，建议角区40 px待调；透明PNG（RGBA）；一单元一张独立图，非多格sheet。</x:v>
      </x:c>
      <x:c r="J235" s="38" t="str">
        <x:v>art_delivery/nm_v2/ui/</x:v>
      </x:c>
      <x:c r="K235" s="45" t="str">
        <x:v>待生成</x:v>
      </x:c>
      <x:c r="L235" s="38" t="str">
        <x:v>blank</x:v>
      </x:c>
    </x:row>
    <x:row r="236" ht="243" customHeight="1">
      <x:c r="A236" s="37" t="str">
        <x:f>INDEX('素材需求'!$D$8:$D$119,MATCH(B236,'素材需求'!$A$8:$A$119,0))&amp;IF(L236="","","_"&amp;L236)&amp;".png"</x:f>
        <x:v>nm_v2_ui_personnel_row_blank.png</x:v>
      </x:c>
      <x:c r="B236" s="37" t="str">
        <x:v>NM_V2_UI_003</x:v>
      </x:c>
      <x:c r="C236" s="37" t="str">
        <x:v>人员行空白底板</x:v>
      </x:c>
      <x:c r="D236" s="37" t="str">
        <x:f>"【交付文件】"&amp;A236&amp;CHAR(10)&amp;"【本张任务】"&amp;C236&amp;CHAR(10)&amp;'生成规范'!$B$8&amp;CHAR(10)&amp;"【单张范围】"&amp;E236&amp;CHAR(10)&amp;"【本组造型约束】"&amp;INDEX('素材需求'!$F$8:$F$119,MATCH(B236,'素材需求'!$A$8:$A$119,0))&amp;CHAR(10)&amp;"【参考对象】"&amp;F236&amp;CHAR(10)&amp;"【制作规格】"&amp;I236&amp;"；"&amp;INDEX('素材需求'!$M$8:$M$119,MATCH(B236,'素材需求'!$A$8:$A$119,0))&amp;CHAR(10)&amp;"【颜色】"&amp;'生成规范'!$B$10&amp;"；"&amp;'生成规范'!$B$11&amp;CHAR(10)&amp;"【输出规则】"&amp;'生成规范'!$B$12&amp;" 后处理对齐尺寸与轴点；交付用途："&amp;H236&amp;CHAR(10)&amp;"【禁止项】"&amp;'生成规范'!$B$9&amp;"；"&amp;INDEX('素材需求'!$N$8:$N$119,MATCH(B236,'素材需求'!$A$8:$A$119,0))</x:f>
        <x:v>【交付文件】nm_v2_ui_personnel_row_blank.png
【本张任务】人员行空白底板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【单张范围】本次只交一张独立PNG：一张扁平清洁的人员名单行底，不画姓名头像及条形填充。不拼图，不含其他单元。
【本组造型约束】常态统一深灰黑#12161C、蓝灰#1E2630、金属灰#39424E、冷白#D9E1EA、冷青蓝#57B8FF；扁平、清洁、克制、现代研究机构。一张轻量名单行底板：冷灰平底、细边、左侧窄身份标记槽但无固定色块或头像。名字、状态图标、HP/SP条、选中描边都在上层程序布局；六人复用，不按员工生成六张。
【参考对象】现代科研机构人员名册的紧凑列表行；参考可读姓名区、属性区与轻量分隔，示意内容全部留空。
【制作规格】1024×256 px；后处理九宫格，建议左右角区40 px待调；透明PNG（RGBA）；一单元一张独立图，非多格sheet。；容器左上(0,0)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36" s="37" t="str">
        <x:v>本次只交一张独立PNG：一张扁平清洁的人员名单行底，不画姓名头像及条形填充。不拼图，不含其他单元。</x:v>
      </x:c>
      <x:c r="F236" s="37" t="str">
        <x:f>INDEX('素材需求'!$G$8:$G$119,MATCH(B236,'素材需求'!$A$8:$A$119,0))</x:f>
        <x:v>现代科研机构人员名册的紧凑列表行；参考可读姓名区、属性区与轻量分隔，示意内容全部留空。</x:v>
      </x:c>
      <x:c r="G236" s="37" t="str">
        <x:f>INDEX('素材需求'!$B$8:$B$119,MATCH(B236,'素材需求'!$A$8:$A$119,0))</x:f>
        <x:v>P0常态</x:v>
      </x:c>
      <x:c r="H236" s="37" t="str">
        <x:v>游戏拆件／贴图</x:v>
      </x:c>
      <x:c r="I236" s="37" t="str">
        <x:v>1024×256 px；后处理九宫格，建议左右角区40 px待调；透明PNG（RGBA）；一单元一张独立图，非多格sheet。</x:v>
      </x:c>
      <x:c r="J236" s="37" t="str">
        <x:v>art_delivery/nm_v2/ui/</x:v>
      </x:c>
      <x:c r="K236" s="45" t="str">
        <x:v>待生成</x:v>
      </x:c>
      <x:c r="L236" s="37" t="str">
        <x:v>blank</x:v>
      </x:c>
    </x:row>
    <x:row r="237" ht="243" customHeight="1">
      <x:c r="A237" s="38" t="str">
        <x:f>INDEX('素材需求'!$D$8:$D$119,MATCH(B237,'素材需求'!$A$8:$A$119,0))&amp;IF(L237="","","_"&amp;L237)&amp;".png"</x:f>
        <x:v>nm_v2_ui_alert_strip_blank.png</x:v>
      </x:c>
      <x:c r="B237" s="38" t="str">
        <x:v>NM_V2_UI_004</x:v>
      </x:c>
      <x:c r="C237" s="38" t="str">
        <x:v>状态警报无字条</x:v>
      </x:c>
      <x:c r="D237" s="38" t="str">
        <x:f>"【交付文件】"&amp;A237&amp;CHAR(10)&amp;"【本张任务】"&amp;C237&amp;CHAR(10)&amp;'生成规范'!$B$8&amp;CHAR(10)&amp;"【单张范围】"&amp;E237&amp;CHAR(10)&amp;"【本组造型约束】"&amp;INDEX('素材需求'!$F$8:$F$119,MATCH(B237,'素材需求'!$A$8:$A$119,0))&amp;CHAR(10)&amp;"【参考对象】"&amp;F237&amp;CHAR(10)&amp;"【制作规格】"&amp;I237&amp;"；"&amp;INDEX('素材需求'!$M$8:$M$119,MATCH(B237,'素材需求'!$A$8:$A$119,0))&amp;CHAR(10)&amp;"【颜色】"&amp;'生成规范'!$B$10&amp;"；"&amp;'生成规范'!$B$11&amp;CHAR(10)&amp;"【输出规则】"&amp;'生成规范'!$B$12&amp;" 后处理对齐尺寸与轴点；交付用途："&amp;H237&amp;CHAR(10)&amp;"【禁止项】"&amp;'生成规范'!$B$9&amp;"；"&amp;INDEX('素材需求'!$N$8:$N$119,MATCH(B237,'素材需求'!$A$8:$A$119,0))</x:f>
        <x:v>【交付文件】nm_v2_ui_alert_strip_blank.png
【本张任务】状态警报无字条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【单张范围】本次只交一张独立PNG：一张现代系统状态条空框，不预画警报词、计数或常亮红灯。不拼图，不含其他单元。
【本组造型约束】常态统一深灰黑#12161C、蓝灰#1E2630、金属灰#39424E、冷白#D9E1EA、冷青蓝#57B8FF；扁平、清洁、克制、现代研究机构。窄而清晰的状态条底框，留独立图标位和两行文案空区；主体保持冷灰，允许程序按真实tone添加红/紫/青色细边。不要把警报画成永久破屏或红灯闪烁。危急程度依靠程序文字、形状与颜色共同表达。
【参考对象】现代系统后台的克制状态提示条；参考图标+两行信息的留白结构，危险色只作边缘语义提示。
【制作规格】1024×256 px；建议可伸缩边带24 px待调；透明PNG（RGBA）；一单元一张独立图，非多格sheet。；左上(0,0)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37" s="38" t="str">
        <x:v>本次只交一张独立PNG：一张现代系统状态条空框，不预画警报词、计数或常亮红灯。不拼图，不含其他单元。</x:v>
      </x:c>
      <x:c r="F237" s="38" t="str">
        <x:f>INDEX('素材需求'!$G$8:$G$119,MATCH(B237,'素材需求'!$A$8:$A$119,0))</x:f>
        <x:v>现代系统后台的克制状态提示条；参考图标+两行信息的留白结构，危险色只作边缘语义提示。</x:v>
      </x:c>
      <x:c r="G237" s="38" t="str">
        <x:f>INDEX('素材需求'!$B$8:$B$119,MATCH(B237,'素材需求'!$A$8:$A$119,0))</x:f>
        <x:v>P0常态</x:v>
      </x:c>
      <x:c r="H237" s="38" t="str">
        <x:v>游戏拆件／贴图</x:v>
      </x:c>
      <x:c r="I237" s="38" t="str">
        <x:v>1024×256 px；建议可伸缩边带24 px待调；透明PNG（RGBA）；一单元一张独立图，非多格sheet。</x:v>
      </x:c>
      <x:c r="J237" s="38" t="str">
        <x:v>art_delivery/nm_v2/ui/</x:v>
      </x:c>
      <x:c r="K237" s="45" t="str">
        <x:v>待生成</x:v>
      </x:c>
      <x:c r="L237" s="38" t="str">
        <x:v>blank</x:v>
      </x:c>
    </x:row>
    <x:row r="238" ht="243" customHeight="1">
      <x:c r="A238" s="37" t="str">
        <x:f>INDEX('素材需求'!$D$8:$D$119,MATCH(B238,'素材需求'!$A$8:$A$119,0))&amp;IF(L238="","","_"&amp;L238)&amp;".png"</x:f>
        <x:v>nm_v2_ui_metric_icon_energy.png</x:v>
      </x:c>
      <x:c r="B238" s="37" t="str">
        <x:v>NM_V2_UI_005</x:v>
      </x:c>
      <x:c r="C238" s="37" t="str">
        <x:v>能量电芯</x:v>
      </x:c>
      <x:c r="D238" s="37" t="str">
        <x:f>"【交付文件】"&amp;A238&amp;CHAR(10)&amp;"【本张任务】"&amp;C238&amp;CHAR(10)&amp;'生成规范'!$B$8&amp;CHAR(10)&amp;"【单张范围】"&amp;E238&amp;CHAR(10)&amp;"【本组造型约束】"&amp;INDEX('素材需求'!$F$8:$F$119,MATCH(B238,'素材需求'!$A$8:$A$119,0))&amp;CHAR(10)&amp;"【参考对象】"&amp;F238&amp;CHAR(10)&amp;"【制作规格】"&amp;I238&amp;"；"&amp;INDEX('素材需求'!$M$8:$M$119,MATCH(B238,'素材需求'!$A$8:$A$119,0))&amp;CHAR(10)&amp;"【颜色】"&amp;'生成规范'!$B$10&amp;"；"&amp;'生成规范'!$B$11&amp;CHAR(10)&amp;"【输出规则】"&amp;'生成规范'!$B$12&amp;" 后处理对齐尺寸与轴点；交付用途："&amp;H238&amp;CHAR(10)&amp;"【禁止项】"&amp;'生成规范'!$B$9&amp;"；"&amp;INDEX('素材需求'!$N$8:$N$119,MATCH(B238,'素材需求'!$A$8:$A$119,0))</x:f>
        <x:v>【交付文件】nm_v2_ui_metric_icon_energy.png
【本张任务】能量电芯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【单张范围】本次只交一张独立PNG：一个现代简洁电芯符号，冷青能量槽只作固定图形，不画剩余电量刻度。不拼图，不含其他单元。
【本组造型约束】常态统一深灰黑#12161C、蓝灰#1E2630、金属灰#39424E、冷白#D9E1EA、冷青蓝#57B8FF；扁平、清洁、克制、现代研究机构。三个独立平面语义图标，统一线宽和视觉重量；只标识属性，不包含仪表、刻度、条形槽、数值或填充比例。能量为现代紧凑电芯；HP为简洁非写实心形；SP为头部轮廓与稳定思维弧。
【参考对象】同一现代扁平图标系统的电芯、心形体力、头部思维三种语义；冷白与青蓝主调，缩小后轮廓清楚。
【制作规格】每张512×512 px；主体约360 px，建议透明边至少64 px待调；透明PNG（RGBA）；一单元一张独立图，非多格sheet。；图形中心(0.5,0.5)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38" s="37" t="str">
        <x:v>本次只交一张独立PNG：一个现代简洁电芯符号，冷青能量槽只作固定图形，不画剩余电量刻度。不拼图，不含其他单元。</x:v>
      </x:c>
      <x:c r="F238" s="37" t="str">
        <x:f>INDEX('素材需求'!$G$8:$G$119,MATCH(B238,'素材需求'!$A$8:$A$119,0))</x:f>
        <x:v>同一现代扁平图标系统的电芯、心形体力、头部思维三种语义；冷白与青蓝主调，缩小后轮廓清楚。</x:v>
      </x:c>
      <x:c r="G238" s="37" t="str">
        <x:f>INDEX('素材需求'!$B$8:$B$119,MATCH(B238,'素材需求'!$A$8:$A$119,0))</x:f>
        <x:v>P0常态</x:v>
      </x:c>
      <x:c r="H238" s="37" t="str">
        <x:v>游戏拆件／贴图</x:v>
      </x:c>
      <x:c r="I238" s="37" t="str">
        <x:v>每张512×512 px；主体约360 px，建议透明边至少64 px待调；透明PNG（RGBA）；一单元一张独立图，非多格sheet。</x:v>
      </x:c>
      <x:c r="J238" s="37" t="str">
        <x:v>art_delivery/nm_v2/ui/</x:v>
      </x:c>
      <x:c r="K238" s="45" t="str">
        <x:v>待生成</x:v>
      </x:c>
      <x:c r="L238" s="37" t="str">
        <x:v>energy</x:v>
      </x:c>
    </x:row>
    <x:row r="239" ht="243" customHeight="1">
      <x:c r="A239" s="38" t="str">
        <x:f>INDEX('素材需求'!$D$8:$D$119,MATCH(B239,'素材需求'!$A$8:$A$119,0))&amp;IF(L239="","","_"&amp;L239)&amp;".png"</x:f>
        <x:v>nm_v2_ui_metric_icon_health.png</x:v>
      </x:c>
      <x:c r="B239" s="38" t="str">
        <x:v>NM_V2_UI_005</x:v>
      </x:c>
      <x:c r="C239" s="38" t="str">
        <x:v>体力属性</x:v>
      </x:c>
      <x:c r="D239" s="38" t="str">
        <x:f>"【交付文件】"&amp;A239&amp;CHAR(10)&amp;"【本张任务】"&amp;C239&amp;CHAR(10)&amp;'生成规范'!$B$8&amp;CHAR(10)&amp;"【单张范围】"&amp;E239&amp;CHAR(10)&amp;"【本组造型约束】"&amp;INDEX('素材需求'!$F$8:$F$119,MATCH(B239,'素材需求'!$A$8:$A$119,0))&amp;CHAR(10)&amp;"【参考对象】"&amp;F239&amp;CHAR(10)&amp;"【制作规格】"&amp;I239&amp;"；"&amp;INDEX('素材需求'!$M$8:$M$119,MATCH(B239,'素材需求'!$A$8:$A$119,0))&amp;CHAR(10)&amp;"【颜色】"&amp;'生成规范'!$B$10&amp;"；"&amp;'生成规范'!$B$11&amp;CHAR(10)&amp;"【输出规则】"&amp;'生成规范'!$B$12&amp;" 后处理对齐尺寸与轴点；交付用途："&amp;H239&amp;CHAR(10)&amp;"【禁止项】"&amp;'生成规范'!$B$9&amp;"；"&amp;INDEX('素材需求'!$N$8:$N$119,MATCH(B239,'素材需求'!$A$8:$A$119,0))</x:f>
        <x:v>【交付文件】nm_v2_ui_metric_icon_health.png
【本张任务】体力属性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【单张范围】本次只交一张独立PNG：一个简洁心形体力符号，清晰单轮廓，不含血滴或伤口。不拼图，不含其他单元。
【本组造型约束】常态统一深灰黑#12161C、蓝灰#1E2630、金属灰#39424E、冷白#D9E1EA、冷青蓝#57B8FF；扁平、清洁、克制、现代研究机构。三个独立平面语义图标，统一线宽和视觉重量；只标识属性，不包含仪表、刻度、条形槽、数值或填充比例。能量为现代紧凑电芯；HP为简洁非写实心形；SP为头部轮廓与稳定思维弧。
【参考对象】同一现代扁平图标系统的电芯、心形体力、头部思维三种语义；冷白与青蓝主调，缩小后轮廓清楚。
【制作规格】每张512×512 px；主体约360 px，建议透明边至少64 px待调；透明PNG（RGBA）；一单元一张独立图，非多格sheet。；图形中心(0.5,0.5)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39" s="38" t="str">
        <x:v>本次只交一张独立PNG：一个简洁心形体力符号，清晰单轮廓，不含血滴或伤口。不拼图，不含其他单元。</x:v>
      </x:c>
      <x:c r="F239" s="38" t="str">
        <x:f>INDEX('素材需求'!$G$8:$G$119,MATCH(B239,'素材需求'!$A$8:$A$119,0))</x:f>
        <x:v>同一现代扁平图标系统的电芯、心形体力、头部思维三种语义；冷白与青蓝主调，缩小后轮廓清楚。</x:v>
      </x:c>
      <x:c r="G239" s="38" t="str">
        <x:f>INDEX('素材需求'!$B$8:$B$119,MATCH(B239,'素材需求'!$A$8:$A$119,0))</x:f>
        <x:v>P0常态</x:v>
      </x:c>
      <x:c r="H239" s="38" t="str">
        <x:v>游戏拆件／贴图</x:v>
      </x:c>
      <x:c r="I239" s="38" t="str">
        <x:v>每张512×512 px；主体约360 px，建议透明边至少64 px待调；透明PNG（RGBA）；一单元一张独立图，非多格sheet。</x:v>
      </x:c>
      <x:c r="J239" s="38" t="str">
        <x:v>art_delivery/nm_v2/ui/</x:v>
      </x:c>
      <x:c r="K239" s="45" t="str">
        <x:v>待生成</x:v>
      </x:c>
      <x:c r="L239" s="38" t="str">
        <x:v>health</x:v>
      </x:c>
    </x:row>
    <x:row r="240" ht="243" customHeight="1">
      <x:c r="A240" s="37" t="str">
        <x:f>INDEX('素材需求'!$D$8:$D$119,MATCH(B240,'素材需求'!$A$8:$A$119,0))&amp;IF(L240="","","_"&amp;L240)&amp;".png"</x:f>
        <x:v>nm_v2_ui_metric_icon_sanity.png</x:v>
      </x:c>
      <x:c r="B240" s="37" t="str">
        <x:v>NM_V2_UI_005</x:v>
      </x:c>
      <x:c r="C240" s="37" t="str">
        <x:v>精神属性</x:v>
      </x:c>
      <x:c r="D240" s="37" t="str">
        <x:f>"【交付文件】"&amp;A240&amp;CHAR(10)&amp;"【本张任务】"&amp;C240&amp;CHAR(10)&amp;'生成规范'!$B$8&amp;CHAR(10)&amp;"【单张范围】"&amp;E240&amp;CHAR(10)&amp;"【本组造型约束】"&amp;INDEX('素材需求'!$F$8:$F$119,MATCH(B240,'素材需求'!$A$8:$A$119,0))&amp;CHAR(10)&amp;"【参考对象】"&amp;F240&amp;CHAR(10)&amp;"【制作规格】"&amp;I240&amp;"；"&amp;INDEX('素材需求'!$M$8:$M$119,MATCH(B240,'素材需求'!$A$8:$A$119,0))&amp;CHAR(10)&amp;"【颜色】"&amp;'生成规范'!$B$10&amp;"；"&amp;'生成规范'!$B$11&amp;CHAR(10)&amp;"【输出规则】"&amp;'生成规范'!$B$12&amp;" 后处理对齐尺寸与轴点；交付用途："&amp;H240&amp;CHAR(10)&amp;"【禁止项】"&amp;'生成规范'!$B$9&amp;"；"&amp;INDEX('素材需求'!$N$8:$N$119,MATCH(B240,'素材需求'!$A$8:$A$119,0))</x:f>
        <x:v>【交付文件】nm_v2_ui_metric_icon_sanity.png
【本张任务】精神属性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【单张范围】本次只交一张独立PNG：一个侧面头部加稳定思维弧的精神符号，不含读数或虚假脑电图。不拼图，不含其他单元。
【本组造型约束】常态统一深灰黑#12161C、蓝灰#1E2630、金属灰#39424E、冷白#D9E1EA、冷青蓝#57B8FF；扁平、清洁、克制、现代研究机构。三个独立平面语义图标，统一线宽和视觉重量；只标识属性，不包含仪表、刻度、条形槽、数值或填充比例。能量为现代紧凑电芯；HP为简洁非写实心形；SP为头部轮廓与稳定思维弧。
【参考对象】同一现代扁平图标系统的电芯、心形体力、头部思维三种语义；冷白与青蓝主调，缩小后轮廓清楚。
【制作规格】每张512×512 px；主体约360 px，建议透明边至少64 px待调；透明PNG（RGBA）；一单元一张独立图，非多格sheet。；图形中心(0.5,0.5)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40" s="37" t="str">
        <x:v>本次只交一张独立PNG：一个侧面头部加稳定思维弧的精神符号，不含读数或虚假脑电图。不拼图，不含其他单元。</x:v>
      </x:c>
      <x:c r="F240" s="37" t="str">
        <x:f>INDEX('素材需求'!$G$8:$G$119,MATCH(B240,'素材需求'!$A$8:$A$119,0))</x:f>
        <x:v>同一现代扁平图标系统的电芯、心形体力、头部思维三种语义；冷白与青蓝主调，缩小后轮廓清楚。</x:v>
      </x:c>
      <x:c r="G240" s="37" t="str">
        <x:f>INDEX('素材需求'!$B$8:$B$119,MATCH(B240,'素材需求'!$A$8:$A$119,0))</x:f>
        <x:v>P0常态</x:v>
      </x:c>
      <x:c r="H240" s="37" t="str">
        <x:v>游戏拆件／贴图</x:v>
      </x:c>
      <x:c r="I240" s="37" t="str">
        <x:v>每张512×512 px；主体约360 px，建议透明边至少64 px待调；透明PNG（RGBA）；一单元一张独立图，非多格sheet。</x:v>
      </x:c>
      <x:c r="J240" s="37" t="str">
        <x:v>art_delivery/nm_v2/ui/</x:v>
      </x:c>
      <x:c r="K240" s="45" t="str">
        <x:v>待生成</x:v>
      </x:c>
      <x:c r="L240" s="37" t="str">
        <x:v>sanity</x:v>
      </x:c>
    </x:row>
    <x:row r="241" ht="243" customHeight="1">
      <x:c r="A241" s="38" t="str">
        <x:f>INDEX('素材需求'!$D$8:$D$119,MATCH(B241,'素材需求'!$A$8:$A$119,0))&amp;IF(L241="","","_"&amp;L241)&amp;".png"</x:f>
        <x:v>nm_v2_ui_personnel_state_idle.png</x:v>
      </x:c>
      <x:c r="B241" s="38" t="str">
        <x:v>NM_V2_UI_006</x:v>
      </x:c>
      <x:c r="C241" s="38" t="str">
        <x:v>待命</x:v>
      </x:c>
      <x:c r="D241" s="38" t="str">
        <x:f>"【交付文件】"&amp;A241&amp;CHAR(10)&amp;"【本张任务】"&amp;C241&amp;CHAR(10)&amp;'生成规范'!$B$8&amp;CHAR(10)&amp;"【单张范围】"&amp;E241&amp;CHAR(10)&amp;"【本组造型约束】"&amp;INDEX('素材需求'!$F$8:$F$119,MATCH(B241,'素材需求'!$A$8:$A$119,0))&amp;CHAR(10)&amp;"【参考对象】"&amp;F241&amp;CHAR(10)&amp;"【制作规格】"&amp;I241&amp;"；"&amp;INDEX('素材需求'!$M$8:$M$119,MATCH(B241,'素材需求'!$A$8:$A$119,0))&amp;CHAR(10)&amp;"【颜色】"&amp;'生成规范'!$B$10&amp;"；"&amp;'生成规范'!$B$11&amp;CHAR(10)&amp;"【输出规则】"&amp;'生成规范'!$B$12&amp;" 后处理对齐尺寸与轴点；交付用途："&amp;H241&amp;CHAR(10)&amp;"【禁止项】"&amp;'生成规范'!$B$9&amp;"；"&amp;INDEX('素材需求'!$N$8:$N$119,MATCH(B241,'素材需求'!$A$8:$A$119,0))</x:f>
        <x:v>【交付文件】nm_v2_ui_personnel_state_idle.png
【本张任务】待命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【单张范围】本次只交一张独立PNG：一个端正研究人员半身/待命姿图形，平稳而非武装警戒。不拼图，不含其他单元。
【本组造型约束】常态统一深灰黑#12161C、蓝灰#1E2630、金属灰#39424E、冷白#D9E1EA、冷青蓝#57B8FF；扁平、清洁、克制、现代研究机构。七图同系统：线条清楚、少细节、以形状先区分，冷白主体配少量功能色；研究人员工作场景，不用军衔徽章或古旧纸牌。MOVING且order=IDLE的空闲散步复用walk；恢复状态沿用现有真实文案与HP/SP，不增新枚举图标。
【参考对象】现代科研调度终端的七种员工状态图形；以待命人员、迈步、返回安全门、平板工作、处置工具、思维失衡、失能支援为视觉对象。
【制作规格】每张512×512 px；24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41" s="38" t="str">
        <x:v>本次只交一张独立PNG：一个端正研究人员半身/待命姿图形，平稳而非武装警戒。不拼图，不含其他单元。</x:v>
      </x:c>
      <x:c r="F241" s="38" t="str">
        <x:f>INDEX('素材需求'!$G$8:$G$119,MATCH(B241,'素材需求'!$A$8:$A$119,0))</x:f>
        <x:v>现代科研调度终端的七种员工状态图形；以待命人员、迈步、返回安全门、平板工作、处置工具、思维失衡、失能支援为视觉对象。</x:v>
      </x:c>
      <x:c r="G241" s="38" t="str">
        <x:f>INDEX('素材需求'!$B$8:$B$119,MATCH(B241,'素材需求'!$A$8:$A$119,0))</x:f>
        <x:v>P0常态</x:v>
      </x:c>
      <x:c r="H241" s="38" t="str">
        <x:v>游戏拆件／贴图</x:v>
      </x:c>
      <x:c r="I241" s="38" t="str">
        <x:v>每张512×512 px；24 px显示验收；透明PNG（RGBA）；一单元一张独立图，非多格sheet。</x:v>
      </x:c>
      <x:c r="J241" s="38" t="str">
        <x:v>art_delivery/nm_v2/ui/</x:v>
      </x:c>
      <x:c r="K241" s="45" t="str">
        <x:v>待生成</x:v>
      </x:c>
      <x:c r="L241" s="38" t="str">
        <x:v>idle</x:v>
      </x:c>
    </x:row>
    <x:row r="242" ht="243" customHeight="1">
      <x:c r="A242" s="37" t="str">
        <x:f>INDEX('素材需求'!$D$8:$D$119,MATCH(B242,'素材需求'!$A$8:$A$119,0))&amp;IF(L242="","","_"&amp;L242)&amp;".png"</x:f>
        <x:v>nm_v2_ui_personnel_state_walk.png</x:v>
      </x:c>
      <x:c r="B242" s="37" t="str">
        <x:v>NM_V2_UI_006</x:v>
      </x:c>
      <x:c r="C242" s="37" t="str">
        <x:v>移动</x:v>
      </x:c>
      <x:c r="D242" s="37" t="str">
        <x:f>"【交付文件】"&amp;A242&amp;CHAR(10)&amp;"【本张任务】"&amp;C242&amp;CHAR(10)&amp;'生成规范'!$B$8&amp;CHAR(10)&amp;"【单张范围】"&amp;E242&amp;CHAR(10)&amp;"【本组造型约束】"&amp;INDEX('素材需求'!$F$8:$F$119,MATCH(B242,'素材需求'!$A$8:$A$119,0))&amp;CHAR(10)&amp;"【参考对象】"&amp;F242&amp;CHAR(10)&amp;"【制作规格】"&amp;I242&amp;"；"&amp;INDEX('素材需求'!$M$8:$M$119,MATCH(B242,'素材需求'!$A$8:$A$119,0))&amp;CHAR(10)&amp;"【颜色】"&amp;'生成规范'!$B$10&amp;"；"&amp;'生成规范'!$B$11&amp;CHAR(10)&amp;"【输出规则】"&amp;'生成规范'!$B$12&amp;" 后处理对齐尺寸与轴点；交付用途："&amp;H242&amp;CHAR(10)&amp;"【禁止项】"&amp;'生成规范'!$B$9&amp;"；"&amp;INDEX('素材需求'!$N$8:$N$119,MATCH(B242,'素材需求'!$A$8:$A$119,0))</x:f>
        <x:v>【交付文件】nm_v2_ui_personnel_state_walk.png
【本张任务】移动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【单张范围】本次只交一张独立PNG：一个清楚迈步的小人符号，无方向路线或目的地文字。不拼图，不含其他单元。
【本组造型约束】常态统一深灰黑#12161C、蓝灰#1E2630、金属灰#39424E、冷白#D9E1EA、冷青蓝#57B8FF；扁平、清洁、克制、现代研究机构。七图同系统：线条清楚、少细节、以形状先区分，冷白主体配少量功能色；研究人员工作场景，不用军衔徽章或古旧纸牌。MOVING且order=IDLE的空闲散步复用walk；恢复状态沿用现有真实文案与HP/SP，不增新枚举图标。
【参考对象】现代科研调度终端的七种员工状态图形；以待命人员、迈步、返回安全门、平板工作、处置工具、思维失衡、失能支援为视觉对象。
【制作规格】每张512×512 px；24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42" s="37" t="str">
        <x:v>本次只交一张独立PNG：一个清楚迈步的小人符号，无方向路线或目的地文字。不拼图，不含其他单元。</x:v>
      </x:c>
      <x:c r="F242" s="37" t="str">
        <x:f>INDEX('素材需求'!$G$8:$G$119,MATCH(B242,'素材需求'!$A$8:$A$119,0))</x:f>
        <x:v>现代科研调度终端的七种员工状态图形；以待命人员、迈步、返回安全门、平板工作、处置工具、思维失衡、失能支援为视觉对象。</x:v>
      </x:c>
      <x:c r="G242" s="37" t="str">
        <x:f>INDEX('素材需求'!$B$8:$B$119,MATCH(B242,'素材需求'!$A$8:$A$119,0))</x:f>
        <x:v>P0常态</x:v>
      </x:c>
      <x:c r="H242" s="37" t="str">
        <x:v>游戏拆件／贴图</x:v>
      </x:c>
      <x:c r="I242" s="37" t="str">
        <x:v>每张512×512 px；24 px显示验收；透明PNG（RGBA）；一单元一张独立图，非多格sheet。</x:v>
      </x:c>
      <x:c r="J242" s="37" t="str">
        <x:v>art_delivery/nm_v2/ui/</x:v>
      </x:c>
      <x:c r="K242" s="45" t="str">
        <x:v>待生成</x:v>
      </x:c>
      <x:c r="L242" s="37" t="str">
        <x:v>walk</x:v>
      </x:c>
    </x:row>
    <x:row r="243" ht="243" customHeight="1">
      <x:c r="A243" s="38" t="str">
        <x:f>INDEX('素材需求'!$D$8:$D$119,MATCH(B243,'素材需求'!$A$8:$A$119,0))&amp;IF(L243="","","_"&amp;L243)&amp;".png"</x:f>
        <x:v>nm_v2_ui_personnel_state_retreat.png</x:v>
      </x:c>
      <x:c r="B243" s="38" t="str">
        <x:v>NM_V2_UI_006</x:v>
      </x:c>
      <x:c r="C243" s="38" t="str">
        <x:v>撤退</x:v>
      </x:c>
      <x:c r="D243" s="38" t="str">
        <x:f>"【交付文件】"&amp;A243&amp;CHAR(10)&amp;"【本张任务】"&amp;C243&amp;CHAR(10)&amp;'生成规范'!$B$8&amp;CHAR(10)&amp;"【单张范围】"&amp;E243&amp;CHAR(10)&amp;"【本组造型约束】"&amp;INDEX('素材需求'!$F$8:$F$119,MATCH(B243,'素材需求'!$A$8:$A$119,0))&amp;CHAR(10)&amp;"【参考对象】"&amp;F243&amp;CHAR(10)&amp;"【制作规格】"&amp;I243&amp;"；"&amp;INDEX('素材需求'!$M$8:$M$119,MATCH(B243,'素材需求'!$A$8:$A$119,0))&amp;CHAR(10)&amp;"【颜色】"&amp;'生成规范'!$B$10&amp;"；"&amp;'生成规范'!$B$11&amp;CHAR(10)&amp;"【输出规则】"&amp;'生成规范'!$B$12&amp;" 后处理对齐尺寸与轴点；交付用途："&amp;H243&amp;CHAR(10)&amp;"【禁止项】"&amp;'生成规范'!$B$9&amp;"；"&amp;INDEX('素材需求'!$N$8:$N$119,MATCH(B243,'素材需求'!$A$8:$A$119,0))</x:f>
        <x:v>【交付文件】nm_v2_ui_personnel_state_retreat.png
【本张任务】撤退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【单张范围】本次只交一张独立PNG：一个朝安全门返回的折返箭头与门口图形，区别普通前进。不拼图，不含其他单元。
【本组造型约束】常态统一深灰黑#12161C、蓝灰#1E2630、金属灰#39424E、冷白#D9E1EA、冷青蓝#57B8FF；扁平、清洁、克制、现代研究机构。七图同系统：线条清楚、少细节、以形状先区分，冷白主体配少量功能色；研究人员工作场景，不用军衔徽章或古旧纸牌。MOVING且order=IDLE的空闲散步复用walk；恢复状态沿用现有真实文案与HP/SP，不增新枚举图标。
【参考对象】现代科研调度终端的七种员工状态图形；以待命人员、迈步、返回安全门、平板工作、处置工具、思维失衡、失能支援为视觉对象。
【制作规格】每张512×512 px；24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43" s="38" t="str">
        <x:v>本次只交一张独立PNG：一个朝安全门返回的折返箭头与门口图形，区别普通前进。不拼图，不含其他单元。</x:v>
      </x:c>
      <x:c r="F243" s="38" t="str">
        <x:f>INDEX('素材需求'!$G$8:$G$119,MATCH(B243,'素材需求'!$A$8:$A$119,0))</x:f>
        <x:v>现代科研调度终端的七种员工状态图形；以待命人员、迈步、返回安全门、平板工作、处置工具、思维失衡、失能支援为视觉对象。</x:v>
      </x:c>
      <x:c r="G243" s="38" t="str">
        <x:f>INDEX('素材需求'!$B$8:$B$119,MATCH(B243,'素材需求'!$A$8:$A$119,0))</x:f>
        <x:v>P0常态</x:v>
      </x:c>
      <x:c r="H243" s="38" t="str">
        <x:v>游戏拆件／贴图</x:v>
      </x:c>
      <x:c r="I243" s="38" t="str">
        <x:v>每张512×512 px；24 px显示验收；透明PNG（RGBA）；一单元一张独立图，非多格sheet。</x:v>
      </x:c>
      <x:c r="J243" s="38" t="str">
        <x:v>art_delivery/nm_v2/ui/</x:v>
      </x:c>
      <x:c r="K243" s="45" t="str">
        <x:v>待生成</x:v>
      </x:c>
      <x:c r="L243" s="38" t="str">
        <x:v>retreat</x:v>
      </x:c>
    </x:row>
    <x:row r="244" ht="243" customHeight="1">
      <x:c r="A244" s="37" t="str">
        <x:f>INDEX('素材需求'!$D$8:$D$119,MATCH(B244,'素材需求'!$A$8:$A$119,0))&amp;IF(L244="","","_"&amp;L244)&amp;".png"</x:f>
        <x:v>nm_v2_ui_personnel_state_work.png</x:v>
      </x:c>
      <x:c r="B244" s="37" t="str">
        <x:v>NM_V2_UI_006</x:v>
      </x:c>
      <x:c r="C244" s="37" t="str">
        <x:v>工作</x:v>
      </x:c>
      <x:c r="D244" s="37" t="str">
        <x:f>"【交付文件】"&amp;A244&amp;CHAR(10)&amp;"【本张任务】"&amp;C244&amp;CHAR(10)&amp;'生成规范'!$B$8&amp;CHAR(10)&amp;"【单张范围】"&amp;E244&amp;CHAR(10)&amp;"【本组造型约束】"&amp;INDEX('素材需求'!$F$8:$F$119,MATCH(B244,'素材需求'!$A$8:$A$119,0))&amp;CHAR(10)&amp;"【参考对象】"&amp;F244&amp;CHAR(10)&amp;"【制作规格】"&amp;I244&amp;"；"&amp;INDEX('素材需求'!$M$8:$M$119,MATCH(B244,'素材需求'!$A$8:$A$119,0))&amp;CHAR(10)&amp;"【颜色】"&amp;'生成规范'!$B$10&amp;"；"&amp;'生成规范'!$B$11&amp;CHAR(10)&amp;"【输出规则】"&amp;'生成规范'!$B$12&amp;" 后处理对齐尺寸与轴点；交付用途："&amp;H244&amp;CHAR(10)&amp;"【禁止项】"&amp;'生成规范'!$B$9&amp;"；"&amp;INDEX('素材需求'!$N$8:$N$119,MATCH(B244,'素材需求'!$A$8:$A$119,0))</x:f>
        <x:v>【交付文件】nm_v2_ui_personnel_state_work.png
【本张任务】工作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【单张范围】本次只交一张独立PNG：一个现代平板终端配操作手的简洁图形，不画屏幕文字。不拼图，不含其他单元。
【本组造型约束】常态统一深灰黑#12161C、蓝灰#1E2630、金属灰#39424E、冷白#D9E1EA、冷青蓝#57B8FF；扁平、清洁、克制、现代研究机构。七图同系统：线条清楚、少细节、以形状先区分，冷白主体配少量功能色；研究人员工作场景，不用军衔徽章或古旧纸牌。MOVING且order=IDLE的空闲散步复用walk；恢复状态沿用现有真实文案与HP/SP，不增新枚举图标。
【参考对象】现代科研调度终端的七种员工状态图形；以待命人员、迈步、返回安全门、平板工作、处置工具、思维失衡、失能支援为视觉对象。
【制作规格】每张512×512 px；24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44" s="37" t="str">
        <x:v>本次只交一张独立PNG：一个现代平板终端配操作手的简洁图形，不画屏幕文字。不拼图，不含其他单元。</x:v>
      </x:c>
      <x:c r="F244" s="37" t="str">
        <x:f>INDEX('素材需求'!$G$8:$G$119,MATCH(B244,'素材需求'!$A$8:$A$119,0))</x:f>
        <x:v>现代科研调度终端的七种员工状态图形；以待命人员、迈步、返回安全门、平板工作、处置工具、思维失衡、失能支援为视觉对象。</x:v>
      </x:c>
      <x:c r="G244" s="37" t="str">
        <x:f>INDEX('素材需求'!$B$8:$B$119,MATCH(B244,'素材需求'!$A$8:$A$119,0))</x:f>
        <x:v>P0常态</x:v>
      </x:c>
      <x:c r="H244" s="37" t="str">
        <x:v>游戏拆件／贴图</x:v>
      </x:c>
      <x:c r="I244" s="37" t="str">
        <x:v>每张512×512 px；24 px显示验收；透明PNG（RGBA）；一单元一张独立图，非多格sheet。</x:v>
      </x:c>
      <x:c r="J244" s="37" t="str">
        <x:v>art_delivery/nm_v2/ui/</x:v>
      </x:c>
      <x:c r="K244" s="45" t="str">
        <x:v>待生成</x:v>
      </x:c>
      <x:c r="L244" s="37" t="str">
        <x:v>work</x:v>
      </x:c>
    </x:row>
    <x:row r="245" ht="243" customHeight="1">
      <x:c r="A245" s="38" t="str">
        <x:f>INDEX('素材需求'!$D$8:$D$119,MATCH(B245,'素材需求'!$A$8:$A$119,0))&amp;IF(L245="","","_"&amp;L245)&amp;".png"</x:f>
        <x:v>nm_v2_ui_personnel_state_suppress.png</x:v>
      </x:c>
      <x:c r="B245" s="38" t="str">
        <x:v>NM_V2_UI_006</x:v>
      </x:c>
      <x:c r="C245" s="38" t="str">
        <x:v>镇压</x:v>
      </x:c>
      <x:c r="D245" s="38" t="str">
        <x:f>"【交付文件】"&amp;A245&amp;CHAR(10)&amp;"【本张任务】"&amp;C245&amp;CHAR(10)&amp;'生成规范'!$B$8&amp;CHAR(10)&amp;"【单张范围】"&amp;E245&amp;CHAR(10)&amp;"【本组造型约束】"&amp;INDEX('素材需求'!$F$8:$F$119,MATCH(B245,'素材需求'!$A$8:$A$119,0))&amp;CHAR(10)&amp;"【参考对象】"&amp;F245&amp;CHAR(10)&amp;"【制作规格】"&amp;I245&amp;"；"&amp;INDEX('素材需求'!$M$8:$M$119,MATCH(B245,'素材需求'!$A$8:$A$119,0))&amp;CHAR(10)&amp;"【颜色】"&amp;'生成规范'!$B$10&amp;"；"&amp;'生成规范'!$B$11&amp;CHAR(10)&amp;"【输出规则】"&amp;'生成规范'!$B$12&amp;" 后处理对齐尺寸与轴点；交付用途："&amp;H245&amp;CHAR(10)&amp;"【禁止项】"&amp;'生成规范'!$B$9&amp;"；"&amp;INDEX('素材需求'!$N$8:$N$119,MATCH(B245,'素材需求'!$A$8:$A$119,0))</x:f>
        <x:v>【交付文件】nm_v2_ui_personnel_state_suppress.png
【本张任务】镇压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【单张范围】本次只交一张独立PNG：一个受控处置工具与护盾组合的简洁图形，不画爆炸或新增枪械。不拼图，不含其他单元。
【本组造型约束】常态统一深灰黑#12161C、蓝灰#1E2630、金属灰#39424E、冷白#D9E1EA、冷青蓝#57B8FF；扁平、清洁、克制、现代研究机构。七图同系统：线条清楚、少细节、以形状先区分，冷白主体配少量功能色；研究人员工作场景，不用军衔徽章或古旧纸牌。MOVING且order=IDLE的空闲散步复用walk；恢复状态沿用现有真实文案与HP/SP，不增新枚举图标。
【参考对象】现代科研调度终端的七种员工状态图形；以待命人员、迈步、返回安全门、平板工作、处置工具、思维失衡、失能支援为视觉对象。
【制作规格】每张512×512 px；24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45" s="38" t="str">
        <x:v>本次只交一张独立PNG：一个受控处置工具与护盾组合的简洁图形，不画爆炸或新增枪械。不拼图，不含其他单元。</x:v>
      </x:c>
      <x:c r="F245" s="38" t="str">
        <x:f>INDEX('素材需求'!$G$8:$G$119,MATCH(B245,'素材需求'!$A$8:$A$119,0))</x:f>
        <x:v>现代科研调度终端的七种员工状态图形；以待命人员、迈步、返回安全门、平板工作、处置工具、思维失衡、失能支援为视觉对象。</x:v>
      </x:c>
      <x:c r="G245" s="38" t="str">
        <x:f>INDEX('素材需求'!$B$8:$B$119,MATCH(B245,'素材需求'!$A$8:$A$119,0))</x:f>
        <x:v>P0常态</x:v>
      </x:c>
      <x:c r="H245" s="38" t="str">
        <x:v>游戏拆件／贴图</x:v>
      </x:c>
      <x:c r="I245" s="38" t="str">
        <x:v>每张512×512 px；24 px显示验收；透明PNG（RGBA）；一单元一张独立图，非多格sheet。</x:v>
      </x:c>
      <x:c r="J245" s="38" t="str">
        <x:v>art_delivery/nm_v2/ui/</x:v>
      </x:c>
      <x:c r="K245" s="45" t="str">
        <x:v>待生成</x:v>
      </x:c>
      <x:c r="L245" s="38" t="str">
        <x:v>suppress</x:v>
      </x:c>
    </x:row>
    <x:row r="246" ht="243" customHeight="1">
      <x:c r="A246" s="37" t="str">
        <x:f>INDEX('素材需求'!$D$8:$D$119,MATCH(B246,'素材需求'!$A$8:$A$119,0))&amp;IF(L246="","","_"&amp;L246)&amp;".png"</x:f>
        <x:v>nm_v2_ui_personnel_state_panic.png</x:v>
      </x:c>
      <x:c r="B246" s="37" t="str">
        <x:v>NM_V2_UI_006</x:v>
      </x:c>
      <x:c r="C246" s="37" t="str">
        <x:v>恐慌</x:v>
      </x:c>
      <x:c r="D246" s="37" t="str">
        <x:f>"【交付文件】"&amp;A246&amp;CHAR(10)&amp;"【本张任务】"&amp;C246&amp;CHAR(10)&amp;'生成规范'!$B$8&amp;CHAR(10)&amp;"【单张范围】"&amp;E246&amp;CHAR(10)&amp;"【本组造型约束】"&amp;INDEX('素材需求'!$F$8:$F$119,MATCH(B246,'素材需求'!$A$8:$A$119,0))&amp;CHAR(10)&amp;"【参考对象】"&amp;F246&amp;CHAR(10)&amp;"【制作规格】"&amp;I246&amp;"；"&amp;INDEX('素材需求'!$M$8:$M$119,MATCH(B246,'素材需求'!$A$8:$A$119,0))&amp;CHAR(10)&amp;"【颜色】"&amp;'生成规范'!$B$10&amp;"；"&amp;'生成规范'!$B$11&amp;CHAR(10)&amp;"【输出规则】"&amp;'生成规范'!$B$12&amp;" 后处理对齐尺寸与轴点；交付用途："&amp;H246&amp;CHAR(10)&amp;"【禁止项】"&amp;'生成规范'!$B$9&amp;"；"&amp;INDEX('素材需求'!$N$8:$N$119,MATCH(B246,'素材需求'!$A$8:$A$119,0))</x:f>
        <x:v>【交付文件】nm_v2_ui_personnel_state_panic.png
【本张任务】恐慌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【单张范围】本次只交一张独立PNG：一个失衡头部轮廓与断裂思维短线，不画惊叹号文字。不拼图，不含其他单元。
【本组造型约束】常态统一深灰黑#12161C、蓝灰#1E2630、金属灰#39424E、冷白#D9E1EA、冷青蓝#57B8FF；扁平、清洁、克制、现代研究机构。七图同系统：线条清楚、少细节、以形状先区分，冷白主体配少量功能色；研究人员工作场景，不用军衔徽章或古旧纸牌。MOVING且order=IDLE的空闲散步复用walk；恢复状态沿用现有真实文案与HP/SP，不增新枚举图标。
【参考对象】现代科研调度终端的七种员工状态图形；以待命人员、迈步、返回安全门、平板工作、处置工具、思维失衡、失能支援为视觉对象。
【制作规格】每张512×512 px；24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46" s="37" t="str">
        <x:v>本次只交一张独立PNG：一个失衡头部轮廓与断裂思维短线，不画惊叹号文字。不拼图，不含其他单元。</x:v>
      </x:c>
      <x:c r="F246" s="37" t="str">
        <x:f>INDEX('素材需求'!$G$8:$G$119,MATCH(B246,'素材需求'!$A$8:$A$119,0))</x:f>
        <x:v>现代科研调度终端的七种员工状态图形；以待命人员、迈步、返回安全门、平板工作、处置工具、思维失衡、失能支援为视觉对象。</x:v>
      </x:c>
      <x:c r="G246" s="37" t="str">
        <x:f>INDEX('素材需求'!$B$8:$B$119,MATCH(B246,'素材需求'!$A$8:$A$119,0))</x:f>
        <x:v>P0常态</x:v>
      </x:c>
      <x:c r="H246" s="37" t="str">
        <x:v>游戏拆件／贴图</x:v>
      </x:c>
      <x:c r="I246" s="37" t="str">
        <x:v>每张512×512 px；24 px显示验收；透明PNG（RGBA）；一单元一张独立图，非多格sheet。</x:v>
      </x:c>
      <x:c r="J246" s="37" t="str">
        <x:v>art_delivery/nm_v2/ui/</x:v>
      </x:c>
      <x:c r="K246" s="45" t="str">
        <x:v>待生成</x:v>
      </x:c>
      <x:c r="L246" s="37" t="str">
        <x:v>panic</x:v>
      </x:c>
    </x:row>
    <x:row r="247" ht="243" customHeight="1">
      <x:c r="A247" s="38" t="str">
        <x:f>INDEX('素材需求'!$D$8:$D$119,MATCH(B247,'素材需求'!$A$8:$A$119,0))&amp;IF(L247="","","_"&amp;L247)&amp;".png"</x:f>
        <x:v>nm_v2_ui_personnel_state_incapacitated.png</x:v>
      </x:c>
      <x:c r="B247" s="38" t="str">
        <x:v>NM_V2_UI_006</x:v>
      </x:c>
      <x:c r="C247" s="38" t="str">
        <x:v>重伤失能</x:v>
      </x:c>
      <x:c r="D247" s="38" t="str">
        <x:f>"【交付文件】"&amp;A247&amp;CHAR(10)&amp;"【本张任务】"&amp;C247&amp;CHAR(10)&amp;'生成规范'!$B$8&amp;CHAR(10)&amp;"【单张范围】"&amp;E247&amp;CHAR(10)&amp;"【本组造型约束】"&amp;INDEX('素材需求'!$F$8:$F$119,MATCH(B247,'素材需求'!$A$8:$A$119,0))&amp;CHAR(10)&amp;"【参考对象】"&amp;F247&amp;CHAR(10)&amp;"【制作规格】"&amp;I247&amp;"；"&amp;INDEX('素材需求'!$M$8:$M$119,MATCH(B247,'素材需求'!$A$8:$A$119,0))&amp;CHAR(10)&amp;"【颜色】"&amp;'生成规范'!$B$10&amp;"；"&amp;'生成规范'!$B$11&amp;CHAR(10)&amp;"【输出规则】"&amp;'生成规范'!$B$12&amp;" 后处理对齐尺寸与轴点；交付用途："&amp;H247&amp;CHAR(10)&amp;"【禁止项】"&amp;'生成规范'!$B$9&amp;"；"&amp;INDEX('素材需求'!$N$8:$N$119,MATCH(B247,'素材需求'!$A$8:$A$119,0))</x:f>
        <x:v>【交付文件】nm_v2_ui_personnel_state_incapacitated.png
【本张任务】重伤失能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【单张范围】本次只交一张独立PNG：一个横卧人员与支援托垫图形，不画墓碑、骷髅或永久死亡。不拼图，不含其他单元。
【本组造型约束】常态统一深灰黑#12161C、蓝灰#1E2630、金属灰#39424E、冷白#D9E1EA、冷青蓝#57B8FF；扁平、清洁、克制、现代研究机构。七图同系统：线条清楚、少细节、以形状先区分，冷白主体配少量功能色；研究人员工作场景，不用军衔徽章或古旧纸牌。MOVING且order=IDLE的空闲散步复用walk；恢复状态沿用现有真实文案与HP/SP，不增新枚举图标。
【参考对象】现代科研调度终端的七种员工状态图形；以待命人员、迈步、返回安全门、平板工作、处置工具、思维失衡、失能支援为视觉对象。
【制作规格】每张512×512 px；24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47" s="38" t="str">
        <x:v>本次只交一张独立PNG：一个横卧人员与支援托垫图形，不画墓碑、骷髅或永久死亡。不拼图，不含其他单元。</x:v>
      </x:c>
      <x:c r="F247" s="38" t="str">
        <x:f>INDEX('素材需求'!$G$8:$G$119,MATCH(B247,'素材需求'!$A$8:$A$119,0))</x:f>
        <x:v>现代科研调度终端的七种员工状态图形；以待命人员、迈步、返回安全门、平板工作、处置工具、思维失衡、失能支援为视觉对象。</x:v>
      </x:c>
      <x:c r="G247" s="38" t="str">
        <x:f>INDEX('素材需求'!$B$8:$B$119,MATCH(B247,'素材需求'!$A$8:$A$119,0))</x:f>
        <x:v>P0常态</x:v>
      </x:c>
      <x:c r="H247" s="38" t="str">
        <x:v>游戏拆件／贴图</x:v>
      </x:c>
      <x:c r="I247" s="38" t="str">
        <x:v>每张512×512 px；24 px显示验收；透明PNG（RGBA）；一单元一张独立图，非多格sheet。</x:v>
      </x:c>
      <x:c r="J247" s="38" t="str">
        <x:v>art_delivery/nm_v2/ui/</x:v>
      </x:c>
      <x:c r="K247" s="45" t="str">
        <x:v>待生成</x:v>
      </x:c>
      <x:c r="L247" s="38" t="str">
        <x:v>incapacitated</x:v>
      </x:c>
    </x:row>
    <x:row r="248" ht="243" customHeight="1">
      <x:c r="A248" s="37" t="str">
        <x:f>INDEX('素材需求'!$D$8:$D$119,MATCH(B248,'素材需求'!$A$8:$A$119,0))&amp;IF(L248="","","_"&amp;L248)&amp;".png"</x:f>
        <x:v>nm_v2_ui_skill_icon_s01_stun.png</x:v>
      </x:c>
      <x:c r="B248" s="37" t="str">
        <x:v>NM_V2_UI_007</x:v>
      </x:c>
      <x:c r="C248" s="37" t="str">
        <x:v>S01 我是奶龙</x:v>
      </x:c>
      <x:c r="D248" s="37" t="str">
        <x:f>"【交付文件】"&amp;A248&amp;CHAR(10)&amp;"【本张任务】"&amp;C248&amp;CHAR(10)&amp;'生成规范'!$B$8&amp;CHAR(10)&amp;"【单张范围】"&amp;E248&amp;CHAR(10)&amp;"【本组造型约束】"&amp;INDEX('素材需求'!$F$8:$F$119,MATCH(B248,'素材需求'!$A$8:$A$119,0))&amp;CHAR(10)&amp;"【参考对象】"&amp;F248&amp;CHAR(10)&amp;"【制作规格】"&amp;I248&amp;"；"&amp;INDEX('素材需求'!$M$8:$M$119,MATCH(B248,'素材需求'!$A$8:$A$119,0))&amp;CHAR(10)&amp;"【颜色】"&amp;'生成规范'!$B$10&amp;"；"&amp;'生成规范'!$B$11&amp;CHAR(10)&amp;"【输出规则】"&amp;'生成规范'!$B$12&amp;" 后处理对齐尺寸与轴点；交付用途："&amp;H248&amp;CHAR(10)&amp;"【禁止项】"&amp;'生成规范'!$B$9&amp;"；"&amp;INDEX('素材需求'!$N$8:$N$119,MATCH(B248,'素材需求'!$A$8:$A$119,0))</x:f>
        <x:v>【交付文件】nm_v2_ui_skill_icon_s01_stun.png
【本张任务】S01 我是奶龙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【单张范围】本次只交一张独立PNG：一个暖黄圆润角色停顿手势加静止短线，表达单目标停止，不画伤害爆炸。不拼图，不含其他单元。
【本组造型约束】常态统一深灰黑#12161C、蓝灰#1E2630、金属灰#39424E、冷白#D9E1EA、冷青蓝#57B8FF；扁平、清洁、克制、现代研究机构。五个独立技能符号，保留S01–S05 ID、热键与现有能力。图标可按五物色彩点缀，但不含按钮框、冷却层、数字、名称或射程。使用暂停姿/爪痕/声波/通知加速/安抚思维五种不同轮廓，不能把所有技能统一做成魔法攻击。
【参考对象】五物专属符号的同风格技能组：暖黄暂停姿、脏粉爪痕、红橙犬口声波、黄橙铃铛加速、浅蓝粉白思维安抚；保持五种轮廓区别。
【制作规格】每张512×512 px；24–32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48" s="37" t="str">
        <x:v>本次只交一张独立PNG：一个暖黄圆润角色停顿手势加静止短线，表达单目标停止，不画伤害爆炸。不拼图，不含其他单元。</x:v>
      </x:c>
      <x:c r="F248" s="37" t="str">
        <x:f>INDEX('素材需求'!$G$8:$G$119,MATCH(B248,'素材需求'!$A$8:$A$119,0))</x:f>
        <x:v>五物专属符号的同风格技能组：暖黄暂停姿、脏粉爪痕、红橙犬口声波、黄橙铃铛加速、浅蓝粉白思维安抚；保持五种轮廓区别。</x:v>
      </x:c>
      <x:c r="G248" s="37" t="str">
        <x:f>INDEX('素材需求'!$B$8:$B$119,MATCH(B248,'素材需求'!$A$8:$A$119,0))</x:f>
        <x:v>P0常态</x:v>
      </x:c>
      <x:c r="H248" s="37" t="str">
        <x:v>游戏拆件／贴图</x:v>
      </x:c>
      <x:c r="I248" s="37" t="str">
        <x:v>每张512×512 px；24–32 px显示验收；透明PNG（RGBA）；一单元一张独立图，非多格sheet。</x:v>
      </x:c>
      <x:c r="J248" s="37" t="str">
        <x:v>art_delivery/nm_v2/ui/</x:v>
      </x:c>
      <x:c r="K248" s="45" t="str">
        <x:v>待生成</x:v>
      </x:c>
      <x:c r="L248" s="37" t="str">
        <x:v>s01_stun</x:v>
      </x:c>
    </x:row>
    <x:row r="249" ht="243" customHeight="1">
      <x:c r="A249" s="38" t="str">
        <x:f>INDEX('素材需求'!$D$8:$D$119,MATCH(B249,'素材需求'!$A$8:$A$119,0))&amp;IF(L249="","","_"&amp;L249)&amp;".png"</x:f>
        <x:v>nm_v2_ui_skill_icon_s02_claw.png</x:v>
      </x:c>
      <x:c r="B249" s="38" t="str">
        <x:v>NM_V2_UI_007</x:v>
      </x:c>
      <x:c r="C249" s="38" t="str">
        <x:v>S02 耄耋暴怒</x:v>
      </x:c>
      <x:c r="D249" s="38" t="str">
        <x:f>"【交付文件】"&amp;A249&amp;CHAR(10)&amp;"【本张任务】"&amp;C249&amp;CHAR(10)&amp;'生成规范'!$B$8&amp;CHAR(10)&amp;"【单张范围】"&amp;E249&amp;CHAR(10)&amp;"【本组造型约束】"&amp;INDEX('素材需求'!$F$8:$F$119,MATCH(B249,'素材需求'!$A$8:$A$119,0))&amp;CHAR(10)&amp;"【参考对象】"&amp;F249&amp;CHAR(10)&amp;"【制作规格】"&amp;I249&amp;"；"&amp;INDEX('素材需求'!$M$8:$M$119,MATCH(B249,'素材需求'!$A$8:$A$119,0))&amp;CHAR(10)&amp;"【颜色】"&amp;'生成规范'!$B$10&amp;"；"&amp;'生成规范'!$B$11&amp;CHAR(10)&amp;"【输出规则】"&amp;'生成规范'!$B$12&amp;" 后处理对齐尺寸与轴点；交付用途："&amp;H249&amp;CHAR(10)&amp;"【禁止项】"&amp;'生成规范'!$B$9&amp;"；"&amp;INDEX('素材需求'!$N$8:$N$119,MATCH(B249,'素材需求'!$A$8:$A$119,0))</x:f>
        <x:v>【交付文件】nm_v2_ui_skill_icon_s02_claw.png
【本张任务】S02 耄耋暴怒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【单张范围】本次只交一张独立PNG：三道紧凑斜爪切痕，暖灰与脏粉少量异常红，表达单体红伤。不拼图，不含其他单元。
【本组造型约束】常态统一深灰黑#12161C、蓝灰#1E2630、金属灰#39424E、冷白#D9E1EA、冷青蓝#57B8FF；扁平、清洁、克制、现代研究机构。五个独立技能符号，保留S01–S05 ID、热键与现有能力。图标可按五物色彩点缀，但不含按钮框、冷却层、数字、名称或射程。使用暂停姿/爪痕/声波/通知加速/安抚思维五种不同轮廓，不能把所有技能统一做成魔法攻击。
【参考对象】五物专属符号的同风格技能组：暖黄暂停姿、脏粉爪痕、红橙犬口声波、黄橙铃铛加速、浅蓝粉白思维安抚；保持五种轮廓区别。
【制作规格】每张512×512 px；24–32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49" s="38" t="str">
        <x:v>本次只交一张独立PNG：三道紧凑斜爪切痕，暖灰与脏粉少量异常红，表达单体红伤。不拼图，不含其他单元。</x:v>
      </x:c>
      <x:c r="F249" s="38" t="str">
        <x:f>INDEX('素材需求'!$G$8:$G$119,MATCH(B249,'素材需求'!$A$8:$A$119,0))</x:f>
        <x:v>五物专属符号的同风格技能组：暖黄暂停姿、脏粉爪痕、红橙犬口声波、黄橙铃铛加速、浅蓝粉白思维安抚；保持五种轮廓区别。</x:v>
      </x:c>
      <x:c r="G249" s="38" t="str">
        <x:f>INDEX('素材需求'!$B$8:$B$119,MATCH(B249,'素材需求'!$A$8:$A$119,0))</x:f>
        <x:v>P0常态</x:v>
      </x:c>
      <x:c r="H249" s="38" t="str">
        <x:v>游戏拆件／贴图</x:v>
      </x:c>
      <x:c r="I249" s="38" t="str">
        <x:v>每张512×512 px；24–32 px显示验收；透明PNG（RGBA）；一单元一张独立图，非多格sheet。</x:v>
      </x:c>
      <x:c r="J249" s="38" t="str">
        <x:v>art_delivery/nm_v2/ui/</x:v>
      </x:c>
      <x:c r="K249" s="45" t="str">
        <x:v>待生成</x:v>
      </x:c>
      <x:c r="L249" s="38" t="str">
        <x:v>s02_claw</x:v>
      </x:c>
    </x:row>
    <x:row r="250" ht="243" customHeight="1">
      <x:c r="A250" s="37" t="str">
        <x:f>INDEX('素材需求'!$D$8:$D$119,MATCH(B250,'素材需求'!$A$8:$A$119,0))&amp;IF(L250="","","_"&amp;L250)&amp;".png"</x:f>
        <x:v>nm_v2_ui_skill_icon_s03_howl.png</x:v>
      </x:c>
      <x:c r="B250" s="37" t="str">
        <x:v>NM_V2_UI_007</x:v>
      </x:c>
      <x:c r="C250" s="37" t="str">
        <x:v>S03 大狗叫</x:v>
      </x:c>
      <x:c r="D250" s="37" t="str">
        <x:f>"【交付文件】"&amp;A250&amp;CHAR(10)&amp;"【本张任务】"&amp;C250&amp;CHAR(10)&amp;'生成规范'!$B$8&amp;CHAR(10)&amp;"【单张范围】"&amp;E250&amp;CHAR(10)&amp;"【本组造型约束】"&amp;INDEX('素材需求'!$F$8:$F$119,MATCH(B250,'素材需求'!$A$8:$A$119,0))&amp;CHAR(10)&amp;"【参考对象】"&amp;F250&amp;CHAR(10)&amp;"【制作规格】"&amp;I250&amp;"；"&amp;INDEX('素材需求'!$M$8:$M$119,MATCH(B250,'素材需求'!$A$8:$A$119,0))&amp;CHAR(10)&amp;"【颜色】"&amp;'生成规范'!$B$10&amp;"；"&amp;'生成规范'!$B$11&amp;CHAR(10)&amp;"【输出规则】"&amp;'生成规范'!$B$12&amp;" 后处理对齐尺寸与轴点；交付用途："&amp;H250&amp;CHAR(10)&amp;"【禁止项】"&amp;'生成规范'!$B$9&amp;"；"&amp;INDEX('素材需求'!$N$8:$N$119,MATCH(B250,'素材需求'!$A$8:$A$119,0))</x:f>
        <x:v>【交付文件】nm_v2_ui_skill_icon_s03_howl.png
【本张任务】S03 大狗叫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【单张范围】本次只交一张独立PNG：简化犬口向外推出两段声波，红橙粉白，表达范围冲击和击退但不画精确范围圈。不拼图，不含其他单元。
【本组造型约束】常态统一深灰黑#12161C、蓝灰#1E2630、金属灰#39424E、冷白#D9E1EA、冷青蓝#57B8FF；扁平、清洁、克制、现代研究机构。五个独立技能符号，保留S01–S05 ID、热键与现有能力。图标可按五物色彩点缀，但不含按钮框、冷却层、数字、名称或射程。使用暂停姿/爪痕/声波/通知加速/安抚思维五种不同轮廓，不能把所有技能统一做成魔法攻击。
【参考对象】五物专属符号的同风格技能组：暖黄暂停姿、脏粉爪痕、红橙犬口声波、黄橙铃铛加速、浅蓝粉白思维安抚；保持五种轮廓区别。
【制作规格】每张512×512 px；24–32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50" s="37" t="str">
        <x:v>本次只交一张独立PNG：简化犬口向外推出两段声波，红橙粉白，表达范围冲击和击退但不画精确范围圈。不拼图，不含其他单元。</x:v>
      </x:c>
      <x:c r="F250" s="37" t="str">
        <x:f>INDEX('素材需求'!$G$8:$G$119,MATCH(B250,'素材需求'!$A$8:$A$119,0))</x:f>
        <x:v>五物专属符号的同风格技能组：暖黄暂停姿、脏粉爪痕、红橙犬口声波、黄橙铃铛加速、浅蓝粉白思维安抚；保持五种轮廓区别。</x:v>
      </x:c>
      <x:c r="G250" s="37" t="str">
        <x:f>INDEX('素材需求'!$B$8:$B$119,MATCH(B250,'素材需求'!$A$8:$A$119,0))</x:f>
        <x:v>P0常态</x:v>
      </x:c>
      <x:c r="H250" s="37" t="str">
        <x:v>游戏拆件／贴图</x:v>
      </x:c>
      <x:c r="I250" s="37" t="str">
        <x:v>每张512×512 px；24–32 px显示验收；透明PNG（RGBA）；一单元一张独立图，非多格sheet。</x:v>
      </x:c>
      <x:c r="J250" s="37" t="str">
        <x:v>art_delivery/nm_v2/ui/</x:v>
      </x:c>
      <x:c r="K250" s="45" t="str">
        <x:v>待生成</x:v>
      </x:c>
      <x:c r="L250" s="37" t="str">
        <x:v>s03_howl</x:v>
      </x:c>
    </x:row>
    <x:row r="251" ht="243" customHeight="1">
      <x:c r="A251" s="38" t="str">
        <x:f>INDEX('素材需求'!$D$8:$D$119,MATCH(B251,'素材需求'!$A$8:$A$119,0))&amp;IF(L251="","","_"&amp;L251)&amp;".png"</x:f>
        <x:v>nm_v2_ui_skill_icon_s04_notice.png</x:v>
      </x:c>
      <x:c r="B251" s="38" t="str">
        <x:v>NM_V2_UI_007</x:v>
      </x:c>
      <x:c r="C251" s="38" t="str">
        <x:v>S04 叮咚通知</x:v>
      </x:c>
      <x:c r="D251" s="38" t="str">
        <x:f>"【交付文件】"&amp;A251&amp;CHAR(10)&amp;"【本张任务】"&amp;C251&amp;CHAR(10)&amp;'生成规范'!$B$8&amp;CHAR(10)&amp;"【单张范围】"&amp;E251&amp;CHAR(10)&amp;"【本组造型约束】"&amp;INDEX('素材需求'!$F$8:$F$119,MATCH(B251,'素材需求'!$A$8:$A$119,0))&amp;CHAR(10)&amp;"【参考对象】"&amp;F251&amp;CHAR(10)&amp;"【制作规格】"&amp;I251&amp;"；"&amp;INDEX('素材需求'!$M$8:$M$119,MATCH(B251,'素材需求'!$A$8:$A$119,0))&amp;CHAR(10)&amp;"【颜色】"&amp;'生成规范'!$B$10&amp;"；"&amp;'生成规范'!$B$11&amp;CHAR(10)&amp;"【输出规则】"&amp;'生成规范'!$B$12&amp;" 后处理对齐尺寸与轴点；交付用途："&amp;H251&amp;CHAR(10)&amp;"【禁止项】"&amp;'生成规范'!$B$9&amp;"；"&amp;INDEX('素材需求'!$N$8:$N$119,MATCH(B251,'素材需求'!$A$8:$A$119,0))</x:f>
        <x:v>【交付文件】nm_v2_ui_skill_icon_s04_notice.png
【本张任务】S04 叮咚通知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【单张范围】本次只交一张独立PNG：简洁通知铃与两条前进速度线，明黄橙黄，表达全员移动加速而非伤害。不拼图，不含其他单元。
【本组造型约束】常态统一深灰黑#12161C、蓝灰#1E2630、金属灰#39424E、冷白#D9E1EA、冷青蓝#57B8FF；扁平、清洁、克制、现代研究机构。五个独立技能符号，保留S01–S05 ID、热键与现有能力。图标可按五物色彩点缀，但不含按钮框、冷却层、数字、名称或射程。使用暂停姿/爪痕/声波/通知加速/安抚思维五种不同轮廓，不能把所有技能统一做成魔法攻击。
【参考对象】五物专属符号的同风格技能组：暖黄暂停姿、脏粉爪痕、红橙犬口声波、黄橙铃铛加速、浅蓝粉白思维安抚；保持五种轮廓区别。
【制作规格】每张512×512 px；24–32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51" s="38" t="str">
        <x:v>本次只交一张独立PNG：简洁通知铃与两条前进速度线，明黄橙黄，表达全员移动加速而非伤害。不拼图，不含其他单元。</x:v>
      </x:c>
      <x:c r="F251" s="38" t="str">
        <x:f>INDEX('素材需求'!$G$8:$G$119,MATCH(B251,'素材需求'!$A$8:$A$119,0))</x:f>
        <x:v>五物专属符号的同风格技能组：暖黄暂停姿、脏粉爪痕、红橙犬口声波、黄橙铃铛加速、浅蓝粉白思维安抚；保持五种轮廓区别。</x:v>
      </x:c>
      <x:c r="G251" s="38" t="str">
        <x:f>INDEX('素材需求'!$B$8:$B$119,MATCH(B251,'素材需求'!$A$8:$A$119,0))</x:f>
        <x:v>P0常态</x:v>
      </x:c>
      <x:c r="H251" s="38" t="str">
        <x:v>游戏拆件／贴图</x:v>
      </x:c>
      <x:c r="I251" s="38" t="str">
        <x:v>每张512×512 px；24–32 px显示验收；透明PNG（RGBA）；一单元一张独立图，非多格sheet。</x:v>
      </x:c>
      <x:c r="J251" s="38" t="str">
        <x:v>art_delivery/nm_v2/ui/</x:v>
      </x:c>
      <x:c r="K251" s="45" t="str">
        <x:v>待生成</x:v>
      </x:c>
      <x:c r="L251" s="38" t="str">
        <x:v>s04_notice</x:v>
      </x:c>
    </x:row>
    <x:row r="252" ht="243" customHeight="1">
      <x:c r="A252" s="37" t="str">
        <x:f>INDEX('素材需求'!$D$8:$D$119,MATCH(B252,'素材需求'!$A$8:$A$119,0))&amp;IF(L252="","","_"&amp;L252)&amp;".png"</x:f>
        <x:v>nm_v2_ui_skill_icon_s05_calm.png</x:v>
      </x:c>
      <x:c r="B252" s="37" t="str">
        <x:v>NM_V2_UI_007</x:v>
      </x:c>
      <x:c r="C252" s="37" t="str">
        <x:v>S05 咕咕嘎嘎</x:v>
      </x:c>
      <x:c r="D252" s="37" t="str">
        <x:f>"【交付文件】"&amp;A252&amp;CHAR(10)&amp;"【本张任务】"&amp;C252&amp;CHAR(10)&amp;'生成规范'!$B$8&amp;CHAR(10)&amp;"【单张范围】"&amp;E252&amp;CHAR(10)&amp;"【本组造型约束】"&amp;INDEX('素材需求'!$F$8:$F$119,MATCH(B252,'素材需求'!$A$8:$A$119,0))&amp;CHAR(10)&amp;"【参考对象】"&amp;F252&amp;CHAR(10)&amp;"【制作规格】"&amp;I252&amp;"；"&amp;INDEX('素材需求'!$M$8:$M$119,MATCH(B252,'素材需求'!$A$8:$A$119,0))&amp;CHAR(10)&amp;"【颜色】"&amp;'生成规范'!$B$10&amp;"；"&amp;'生成规范'!$B$11&amp;CHAR(10)&amp;"【输出规则】"&amp;'生成规范'!$B$12&amp;" 后处理对齐尺寸与轴点；交付用途："&amp;H252&amp;CHAR(10)&amp;"【禁止项】"&amp;'生成规范'!$B$9&amp;"；"&amp;INDEX('素材需求'!$N$8:$N$119,MATCH(B252,'素材需求'!$A$8:$A$119,0))</x:f>
        <x:v>【交付文件】nm_v2_ui_skill_icon_s05_calm.png
【本张任务】S05 咕咕嘎嘎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【单张范围】本次只交一张独立PNG：浅蓝粉白的柔和思维弧被两片软翼包住，表达精神安抚而非HP治疗。不拼图，不含其他单元。
【本组造型约束】常态统一深灰黑#12161C、蓝灰#1E2630、金属灰#39424E、冷白#D9E1EA、冷青蓝#57B8FF；扁平、清洁、克制、现代研究机构。五个独立技能符号，保留S01–S05 ID、热键与现有能力。图标可按五物色彩点缀，但不含按钮框、冷却层、数字、名称或射程。使用暂停姿/爪痕/声波/通知加速/安抚思维五种不同轮廓，不能把所有技能统一做成魔法攻击。
【参考对象】五物专属符号的同风格技能组：暖黄暂停姿、脏粉爪痕、红橙犬口声波、黄橙铃铛加速、浅蓝粉白思维安抚；保持五种轮廓区别。
【制作规格】每张512×512 px；24–32 px显示验收；透明PNG（RGBA）；一单元一张独立图，非多格sheet。；中心(0.5,0.5)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52" s="37" t="str">
        <x:v>本次只交一张独立PNG：浅蓝粉白的柔和思维弧被两片软翼包住，表达精神安抚而非HP治疗。不拼图，不含其他单元。</x:v>
      </x:c>
      <x:c r="F252" s="37" t="str">
        <x:f>INDEX('素材需求'!$G$8:$G$119,MATCH(B252,'素材需求'!$A$8:$A$119,0))</x:f>
        <x:v>五物专属符号的同风格技能组：暖黄暂停姿、脏粉爪痕、红橙犬口声波、黄橙铃铛加速、浅蓝粉白思维安抚；保持五种轮廓区别。</x:v>
      </x:c>
      <x:c r="G252" s="37" t="str">
        <x:f>INDEX('素材需求'!$B$8:$B$119,MATCH(B252,'素材需求'!$A$8:$A$119,0))</x:f>
        <x:v>P0常态</x:v>
      </x:c>
      <x:c r="H252" s="37" t="str">
        <x:v>游戏拆件／贴图</x:v>
      </x:c>
      <x:c r="I252" s="37" t="str">
        <x:v>每张512×512 px；24–32 px显示验收；透明PNG（RGBA）；一单元一张独立图，非多格sheet。</x:v>
      </x:c>
      <x:c r="J252" s="37" t="str">
        <x:v>art_delivery/nm_v2/ui/</x:v>
      </x:c>
      <x:c r="K252" s="45" t="str">
        <x:v>待生成</x:v>
      </x:c>
      <x:c r="L252" s="37" t="str">
        <x:v>s05_calm</x:v>
      </x:c>
    </x:row>
    <x:row r="253" ht="243" customHeight="1">
      <x:c r="A253" s="38" t="str">
        <x:f>INDEX('素材需求'!$D$8:$D$119,MATCH(B253,'素材需求'!$A$8:$A$119,0))&amp;IF(L253="","","_"&amp;L253)&amp;".png"</x:f>
        <x:v>nm_v2_vfx_work_tick_key.png</x:v>
      </x:c>
      <x:c r="B253" s="38" t="str">
        <x:v>NM_V2_FX_001</x:v>
      </x:c>
      <x:c r="C253" s="38" t="str">
        <x:v>工作轻扫描关键图</x:v>
      </x:c>
      <x:c r="D253" s="38" t="str">
        <x:f>"【交付文件】"&amp;A253&amp;CHAR(10)&amp;"【本张任务】"&amp;C253&amp;CHAR(10)&amp;'生成规范'!$B$8&amp;CHAR(10)&amp;"【单张范围】"&amp;E253&amp;CHAR(10)&amp;"【本组造型约束】"&amp;INDEX('素材需求'!$F$8:$F$119,MATCH(B253,'素材需求'!$A$8:$A$119,0))&amp;CHAR(10)&amp;"【参考对象】"&amp;F253&amp;CHAR(10)&amp;"【制作规格】"&amp;I253&amp;"；"&amp;INDEX('素材需求'!$M$8:$M$119,MATCH(B253,'素材需求'!$A$8:$A$119,0))&amp;CHAR(10)&amp;"【颜色】"&amp;'生成规范'!$B$10&amp;"；"&amp;'生成规范'!$B$11&amp;CHAR(10)&amp;"【输出规则】"&amp;'生成规范'!$B$12&amp;" 后处理对齐尺寸与轴点；交付用途："&amp;H253&amp;CHAR(10)&amp;"【禁止项】"&amp;'生成规范'!$B$9&amp;"；"&amp;INDEX('素材需求'!$N$8:$N$119,MATCH(B253,'素材需求'!$A$8:$A$119,0))</x:f>
        <x:v>【交付文件】nm_v2_vfx_work_tick_key.png
【本张任务】工作轻扫描关键图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【单张范围】本次只交一张独立PNG：一片克制的冷青终端短扫描亮片，透明背景，无工具与文字。不拼图，不含其他单元。
【本组造型约束】常态统一深灰黑#12161C、蓝灰#1E2630、金属灰#39424E、冷白#D9E1EA、冷青蓝#57B8FF；扁平、清洁、克制、现代研究机构。一个小型冷青短扫描亮片，包含两三段规整短光线与一个轻触点；保留透明中心，不含平板本体、员工、手或房间。用于既有工作动作的小反馈；同图复用三种工作，不分别重复生成。
【参考对象】现代平板终端被操作时的小型扫描亮片；仅轻触与短扫描信号，不含终端或人物本体。
【制作规格】512×512 px；图形小而疏朗；透明PNG（RGBA）；一单元一张独立图，非多格sheet。；工作工具/终端附近中心(0.5,0.5)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53" s="38" t="str">
        <x:v>本次只交一张独立PNG：一片克制的冷青终端短扫描亮片，透明背景，无工具与文字。不拼图，不含其他单元。</x:v>
      </x:c>
      <x:c r="F253" s="38" t="str">
        <x:f>INDEX('素材需求'!$G$8:$G$119,MATCH(B253,'素材需求'!$A$8:$A$119,0))</x:f>
        <x:v>现代平板终端被操作时的小型扫描亮片；仅轻触与短扫描信号，不含终端或人物本体。</x:v>
      </x:c>
      <x:c r="G253" s="38" t="str">
        <x:f>INDEX('素材需求'!$B$8:$B$119,MATCH(B253,'素材需求'!$A$8:$A$119,0))</x:f>
        <x:v>P0常态</x:v>
      </x:c>
      <x:c r="H253" s="38" t="str">
        <x:v>游戏拆件／贴图</x:v>
      </x:c>
      <x:c r="I253" s="38" t="str">
        <x:v>512×512 px；图形小而疏朗；透明PNG（RGBA）；一单元一张独立图，非多格sheet。</x:v>
      </x:c>
      <x:c r="J253" s="38" t="str">
        <x:v>art_delivery/nm_v2/vfx/</x:v>
      </x:c>
      <x:c r="K253" s="45" t="str">
        <x:v>待生成</x:v>
      </x:c>
      <x:c r="L253" s="38" t="str">
        <x:v>key</x:v>
      </x:c>
    </x:row>
    <x:row r="254" ht="243" customHeight="1">
      <x:c r="A254" s="37" t="str">
        <x:f>INDEX('素材需求'!$D$8:$D$119,MATCH(B254,'素材需求'!$A$8:$A$119,0))&amp;IF(L254="","","_"&amp;L254)&amp;".png"</x:f>
        <x:v>nm_v2_vfx_hit_tick_key.png</x:v>
      </x:c>
      <x:c r="B254" s="37" t="str">
        <x:v>NM_V2_FX_002</x:v>
      </x:c>
      <x:c r="C254" s="37" t="str">
        <x:v>通用命中刻线关键图</x:v>
      </x:c>
      <x:c r="D254" s="37" t="str">
        <x:f>"【交付文件】"&amp;A254&amp;CHAR(10)&amp;"【本张任务】"&amp;C254&amp;CHAR(10)&amp;'生成规范'!$B$8&amp;CHAR(10)&amp;"【单张范围】"&amp;E254&amp;CHAR(10)&amp;"【本组造型约束】"&amp;INDEX('素材需求'!$F$8:$F$119,MATCH(B254,'素材需求'!$A$8:$A$119,0))&amp;CHAR(10)&amp;"【参考对象】"&amp;F254&amp;CHAR(10)&amp;"【制作规格】"&amp;I254&amp;"；"&amp;INDEX('素材需求'!$M$8:$M$119,MATCH(B254,'素材需求'!$A$8:$A$119,0))&amp;CHAR(10)&amp;"【颜色】"&amp;'生成规范'!$B$10&amp;"；"&amp;'生成规范'!$B$11&amp;CHAR(10)&amp;"【输出规则】"&amp;'生成规范'!$B$12&amp;" 后处理对齐尺寸与轴点；交付用途："&amp;H254&amp;CHAR(10)&amp;"【禁止项】"&amp;'生成规范'!$B$9&amp;"；"&amp;INDEX('素材需求'!$N$8:$N$119,MATCH(B254,'素材需求'!$A$8:$A$119,0))</x:f>
        <x:v>【交付文件】nm_v2_vfx_hit_tick_key.png
【本张任务】通用命中刻线关键图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【单张范围】本次只交一张独立PNG：一个中心留空的短折线冲击刻痕，无爆炸、伤口或数字。不拼图，不含其他单元。
【本组造型约束】常态统一深灰黑#12161C、蓝灰#1E2630、金属灰#39424E、冷白#D9E1EA、冷青蓝#57B8FF；扁平、清洁、克制、现代研究机构。一小组方向清楚的冷白/金属灰折线冲击刻痕，中心透明，最多少量短碎片，整体像界面信号被打断的瞬间；不使用墨污、鲜血、火焰或魔法光球。真实受击时只短暂出现。
【参考对象】数字界面短促信号受扰的折线刻痕；小范围直接命中感，透明中心保留目标可见。
【制作规格】512×512 px；主体约300 px；透明PNG（RGBA）；一单元一张独立图，非多格sheet。；命中中心(0.5,0.5)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54" s="37" t="str">
        <x:v>本次只交一张独立PNG：一个中心留空的短折线冲击刻痕，无爆炸、伤口或数字。不拼图，不含其他单元。</x:v>
      </x:c>
      <x:c r="F254" s="37" t="str">
        <x:f>INDEX('素材需求'!$G$8:$G$119,MATCH(B254,'素材需求'!$A$8:$A$119,0))</x:f>
        <x:v>数字界面短促信号受扰的折线刻痕；小范围直接命中感，透明中心保留目标可见。</x:v>
      </x:c>
      <x:c r="G254" s="37" t="str">
        <x:f>INDEX('素材需求'!$B$8:$B$119,MATCH(B254,'素材需求'!$A$8:$A$119,0))</x:f>
        <x:v>P0常态</x:v>
      </x:c>
      <x:c r="H254" s="37" t="str">
        <x:v>游戏拆件／贴图</x:v>
      </x:c>
      <x:c r="I254" s="37" t="str">
        <x:v>512×512 px；主体约300 px；透明PNG（RGBA）；一单元一张独立图，非多格sheet。</x:v>
      </x:c>
      <x:c r="J254" s="37" t="str">
        <x:v>art_delivery/nm_v2/vfx/</x:v>
      </x:c>
      <x:c r="K254" s="45" t="str">
        <x:v>待生成</x:v>
      </x:c>
      <x:c r="L254" s="37" t="str">
        <x:v>key</x:v>
      </x:c>
    </x:row>
    <x:row r="255" ht="228.75" customHeight="1">
      <x:c r="A255" s="38" t="str">
        <x:f>INDEX('素材需求'!$D$8:$D$119,MATCH(B255,'素材需求'!$A$8:$A$119,0))&amp;IF(L255="","","_"&amp;L255)&amp;".png"</x:f>
        <x:v>nm_v2_vfx_panic_signal_key.png</x:v>
      </x:c>
      <x:c r="B255" s="38" t="str">
        <x:v>NM_V2_FX_003</x:v>
      </x:c>
      <x:c r="C255" s="38" t="str">
        <x:v>恐慌信号关键图</x:v>
      </x:c>
      <x:c r="D255" s="38" t="str">
        <x:f>"【交付文件】"&amp;A255&amp;CHAR(10)&amp;"【本张任务】"&amp;C255&amp;CHAR(10)&amp;'生成规范'!$B$8&amp;CHAR(10)&amp;"【单张范围】"&amp;E255&amp;CHAR(10)&amp;"【本组造型约束】"&amp;INDEX('素材需求'!$F$8:$F$119,MATCH(B255,'素材需求'!$A$8:$A$119,0))&amp;CHAR(10)&amp;"【参考对象】"&amp;F255&amp;CHAR(10)&amp;"【制作规格】"&amp;I255&amp;"；"&amp;INDEX('素材需求'!$M$8:$M$119,MATCH(B255,'素材需求'!$A$8:$A$119,0))&amp;CHAR(10)&amp;"【颜色】"&amp;'生成规范'!$B$10&amp;"；"&amp;'生成规范'!$B$11&amp;CHAR(10)&amp;"【输出规则】"&amp;'生成规范'!$B$12&amp;" 后处理对齐尺寸与轴点；交付用途："&amp;H255&amp;CHAR(10)&amp;"【禁止项】"&amp;'生成规范'!$B$9&amp;"；"&amp;INDEX('素材需求'!$N$8:$N$119,MATCH(B255,'素材需求'!$A$8:$A$119,0))</x:f>
        <x:v>【交付文件】nm_v2_vfx_panic_signal_key.png
【本张任务】恐慌信号关键图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【单张范围】本次只交一张独立PNG：一组断续浅紫信号弧，中心透明，不含文字与人物。不拼图，不含其他单元。
【本组造型约束】冷白与少量亮紫#9C6BFF的两段不闭合信号弧，轻微错位、断续，中心大面积透明；表现员工精神失稳，不画具体员工、数字或拟声字，不把头部遮成噪声云。
【参考对象】头顶附近断续的思维信号弧；克制的紫白错位感，区分普通稳定状态，不含具体员工。
【制作规格】1024×512 px；横向疏朗；透明PNG（RGBA）；一单元一张独立图，非多格sheet。；员工头顶附近中心(0.5,0.65)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55" s="38" t="str">
        <x:v>本次只交一张独立PNG：一组断续浅紫信号弧，中心透明，不含文字与人物。不拼图，不含其他单元。</x:v>
      </x:c>
      <x:c r="F255" s="38" t="str">
        <x:f>INDEX('素材需求'!$G$8:$G$119,MATCH(B255,'素材需求'!$A$8:$A$119,0))</x:f>
        <x:v>头顶附近断续的思维信号弧；克制的紫白错位感，区分普通稳定状态，不含具体员工。</x:v>
      </x:c>
      <x:c r="G255" s="38" t="str">
        <x:f>INDEX('素材需求'!$B$8:$B$119,MATCH(B255,'素材需求'!$A$8:$A$119,0))</x:f>
        <x:v>P0常态</x:v>
      </x:c>
      <x:c r="H255" s="38" t="str">
        <x:v>游戏拆件／贴图</x:v>
      </x:c>
      <x:c r="I255" s="38" t="str">
        <x:v>1024×512 px；横向疏朗；透明PNG（RGBA）；一单元一张独立图，非多格sheet。</x:v>
      </x:c>
      <x:c r="J255" s="38" t="str">
        <x:v>art_delivery/nm_v2/vfx/</x:v>
      </x:c>
      <x:c r="K255" s="45" t="str">
        <x:v>待生成</x:v>
      </x:c>
      <x:c r="L255" s="38" t="str">
        <x:v>key</x:v>
      </x:c>
    </x:row>
    <x:row r="256" ht="243" customHeight="1">
      <x:c r="A256" s="37" t="str">
        <x:f>INDEX('素材需求'!$D$8:$D$119,MATCH(B256,'素材需求'!$A$8:$A$119,0))&amp;IF(L256="","","_"&amp;L256)&amp;".png"</x:f>
        <x:v>nm_v2_vfx_damage_type_red.png</x:v>
      </x:c>
      <x:c r="B256" s="37" t="str">
        <x:v>NM_V2_FX_004</x:v>
      </x:c>
      <x:c r="C256" s="37" t="str">
        <x:v>红伤短折角</x:v>
      </x:c>
      <x:c r="D256" s="37" t="str">
        <x:f>"【交付文件】"&amp;A256&amp;CHAR(10)&amp;"【本张任务】"&amp;C256&amp;CHAR(10)&amp;'生成规范'!$B$8&amp;CHAR(10)&amp;"【单张范围】"&amp;E256&amp;CHAR(10)&amp;"【本组造型约束】"&amp;INDEX('素材需求'!$F$8:$F$119,MATCH(B256,'素材需求'!$A$8:$A$119,0))&amp;CHAR(10)&amp;"【参考对象】"&amp;F256&amp;CHAR(10)&amp;"【制作规格】"&amp;I256&amp;"；"&amp;INDEX('素材需求'!$M$8:$M$119,MATCH(B256,'素材需求'!$A$8:$A$119,0))&amp;CHAR(10)&amp;"【颜色】"&amp;'生成规范'!$B$10&amp;"；"&amp;'生成规范'!$B$11&amp;CHAR(10)&amp;"【输出规则】"&amp;'生成规范'!$B$12&amp;" 后处理对齐尺寸与轴点；交付用途："&amp;H256&amp;CHAR(10)&amp;"【禁止项】"&amp;'生成规范'!$B$9&amp;"；"&amp;INDEX('素材需求'!$N$8:$N$119,MATCH(B256,'素材需求'!$A$8:$A$119,0))</x:f>
        <x:v>【交付文件】nm_v2_vfx_damage_type_red.png
【本张任务】红伤短折角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【单张范围】本次只交一张独立PNG：一个异常红短折角冲击片，表达直接命中，不画火焰或血液。不拼图，不含其他单元。
【本组造型约束】四张独立紧凑信号片段，靠轮廓同时区分而非仅换色；RED异常红短折角、WHITE冷白开口双弧、BLACK深紫交错数据裂片、PALE浅青修长切痕。与现代底图保持线条一致，不再使用旧纸墨屑；没有范围、文字、武器、角色或场景。
【参考对象】四种不同几何命中语汇：红色折角、白色开口弧、深紫交错裂片、浅青修长切痕；统一现代数字信号质感。
【制作规格】每张512×512 px；统一中心与视觉重量；透明PNG（RGBA）；一单元一张独立图，非多格sheet。；真实命中中心(0.5,0.5)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56" s="37" t="str">
        <x:v>本次只交一张独立PNG：一个异常红短折角冲击片，表达直接命中，不画火焰或血液。不拼图，不含其他单元。</x:v>
      </x:c>
      <x:c r="F256" s="37" t="str">
        <x:f>INDEX('素材需求'!$G$8:$G$119,MATCH(B256,'素材需求'!$A$8:$A$119,0))</x:f>
        <x:v>四种不同几何命中语汇：红色折角、白色开口弧、深紫交错裂片、浅青修长切痕；统一现代数字信号质感。</x:v>
      </x:c>
      <x:c r="G256" s="37" t="str">
        <x:f>INDEX('素材需求'!$B$8:$B$119,MATCH(B256,'素材需求'!$A$8:$A$119,0))</x:f>
        <x:v>P0常态</x:v>
      </x:c>
      <x:c r="H256" s="37" t="str">
        <x:v>游戏拆件／贴图</x:v>
      </x:c>
      <x:c r="I256" s="37" t="str">
        <x:v>每张512×512 px；统一中心与视觉重量；透明PNG（RGBA）；一单元一张独立图，非多格sheet。</x:v>
      </x:c>
      <x:c r="J256" s="37" t="str">
        <x:v>art_delivery/nm_v2/vfx/</x:v>
      </x:c>
      <x:c r="K256" s="45" t="str">
        <x:v>待生成</x:v>
      </x:c>
      <x:c r="L256" s="37" t="str">
        <x:v>red</x:v>
      </x:c>
    </x:row>
    <x:row r="257" ht="243" customHeight="1">
      <x:c r="A257" s="38" t="str">
        <x:f>INDEX('素材需求'!$D$8:$D$119,MATCH(B257,'素材需求'!$A$8:$A$119,0))&amp;IF(L257="","","_"&amp;L257)&amp;".png"</x:f>
        <x:v>nm_v2_vfx_damage_type_white.png</x:v>
      </x:c>
      <x:c r="B257" s="38" t="str">
        <x:v>NM_V2_FX_004</x:v>
      </x:c>
      <x:c r="C257" s="38" t="str">
        <x:v>白伤开口双弧</x:v>
      </x:c>
      <x:c r="D257" s="38" t="str">
        <x:f>"【交付文件】"&amp;A257&amp;CHAR(10)&amp;"【本张任务】"&amp;C257&amp;CHAR(10)&amp;'生成规范'!$B$8&amp;CHAR(10)&amp;"【单张范围】"&amp;E257&amp;CHAR(10)&amp;"【本组造型约束】"&amp;INDEX('素材需求'!$F$8:$F$119,MATCH(B257,'素材需求'!$A$8:$A$119,0))&amp;CHAR(10)&amp;"【参考对象】"&amp;F257&amp;CHAR(10)&amp;"【制作规格】"&amp;I257&amp;"；"&amp;INDEX('素材需求'!$M$8:$M$119,MATCH(B257,'素材需求'!$A$8:$A$119,0))&amp;CHAR(10)&amp;"【颜色】"&amp;'生成规范'!$B$10&amp;"；"&amp;'生成规范'!$B$11&amp;CHAR(10)&amp;"【输出规则】"&amp;'生成规范'!$B$12&amp;" 后处理对齐尺寸与轴点；交付用途："&amp;H257&amp;CHAR(10)&amp;"【禁止项】"&amp;'生成规范'!$B$9&amp;"；"&amp;INDEX('素材需求'!$N$8:$N$119,MATCH(B257,'素材需求'!$A$8:$A$119,0))</x:f>
        <x:v>【交付文件】nm_v2_vfx_damage_type_white.png
【本张任务】白伤开口双弧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【单张范围】本次只交一张独立PNG：一对冷白开口信号弧，表达精神冲击，不画治愈十字。不拼图，不含其他单元。
【本组造型约束】四张独立紧凑信号片段，靠轮廓同时区分而非仅换色；RED异常红短折角、WHITE冷白开口双弧、BLACK深紫交错数据裂片、PALE浅青修长切痕。与现代底图保持线条一致，不再使用旧纸墨屑；没有范围、文字、武器、角色或场景。
【参考对象】四种不同几何命中语汇：红色折角、白色开口弧、深紫交错裂片、浅青修长切痕；统一现代数字信号质感。
【制作规格】每张512×512 px；统一中心与视觉重量；透明PNG（RGBA）；一单元一张独立图，非多格sheet。；真实命中中心(0.5,0.5)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57" s="38" t="str">
        <x:v>本次只交一张独立PNG：一对冷白开口信号弧，表达精神冲击，不画治愈十字。不拼图，不含其他单元。</x:v>
      </x:c>
      <x:c r="F257" s="38" t="str">
        <x:f>INDEX('素材需求'!$G$8:$G$119,MATCH(B257,'素材需求'!$A$8:$A$119,0))</x:f>
        <x:v>四种不同几何命中语汇：红色折角、白色开口弧、深紫交错裂片、浅青修长切痕；统一现代数字信号质感。</x:v>
      </x:c>
      <x:c r="G257" s="38" t="str">
        <x:f>INDEX('素材需求'!$B$8:$B$119,MATCH(B257,'素材需求'!$A$8:$A$119,0))</x:f>
        <x:v>P0常态</x:v>
      </x:c>
      <x:c r="H257" s="38" t="str">
        <x:v>游戏拆件／贴图</x:v>
      </x:c>
      <x:c r="I257" s="38" t="str">
        <x:v>每张512×512 px；统一中心与视觉重量；透明PNG（RGBA）；一单元一张独立图，非多格sheet。</x:v>
      </x:c>
      <x:c r="J257" s="38" t="str">
        <x:v>art_delivery/nm_v2/vfx/</x:v>
      </x:c>
      <x:c r="K257" s="45" t="str">
        <x:v>待生成</x:v>
      </x:c>
      <x:c r="L257" s="38" t="str">
        <x:v>white</x:v>
      </x:c>
    </x:row>
    <x:row r="258" ht="243" customHeight="1">
      <x:c r="A258" s="37" t="str">
        <x:f>INDEX('素材需求'!$D$8:$D$119,MATCH(B258,'素材需求'!$A$8:$A$119,0))&amp;IF(L258="","","_"&amp;L258)&amp;".png"</x:f>
        <x:v>nm_v2_vfx_damage_type_black.png</x:v>
      </x:c>
      <x:c r="B258" s="37" t="str">
        <x:v>NM_V2_FX_004</x:v>
      </x:c>
      <x:c r="C258" s="37" t="str">
        <x:v>黑伤交错裂片</x:v>
      </x:c>
      <x:c r="D258" s="37" t="str">
        <x:f>"【交付文件】"&amp;A258&amp;CHAR(10)&amp;"【本张任务】"&amp;C258&amp;CHAR(10)&amp;'生成规范'!$B$8&amp;CHAR(10)&amp;"【单张范围】"&amp;E258&amp;CHAR(10)&amp;"【本组造型约束】"&amp;INDEX('素材需求'!$F$8:$F$119,MATCH(B258,'素材需求'!$A$8:$A$119,0))&amp;CHAR(10)&amp;"【参考对象】"&amp;F258&amp;CHAR(10)&amp;"【制作规格】"&amp;I258&amp;"；"&amp;INDEX('素材需求'!$M$8:$M$119,MATCH(B258,'素材需求'!$A$8:$A$119,0))&amp;CHAR(10)&amp;"【颜色】"&amp;'生成规范'!$B$10&amp;"；"&amp;'生成规范'!$B$11&amp;CHAR(10)&amp;"【输出规则】"&amp;'生成规范'!$B$12&amp;" 后处理对齐尺寸与轴点；交付用途："&amp;H258&amp;CHAR(10)&amp;"【禁止项】"&amp;'生成规范'!$B$9&amp;"；"&amp;INDEX('素材需求'!$N$8:$N$119,MATCH(B258,'素材需求'!$A$8:$A$119,0))</x:f>
        <x:v>【交付文件】nm_v2_vfx_damage_type_black.png
【本张任务】黑伤交错裂片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【单张范围】本次只交一张独立PNG：一束紧凑深紫与冷白负形交错的数据裂片，不画烟墙。不拼图，不含其他单元。
【本组造型约束】四张独立紧凑信号片段，靠轮廓同时区分而非仅换色；RED异常红短折角、WHITE冷白开口双弧、BLACK深紫交错数据裂片、PALE浅青修长切痕。与现代底图保持线条一致，不再使用旧纸墨屑；没有范围、文字、武器、角色或场景。
【参考对象】四种不同几何命中语汇：红色折角、白色开口弧、深紫交错裂片、浅青修长切痕；统一现代数字信号质感。
【制作规格】每张512×512 px；统一中心与视觉重量；透明PNG（RGBA）；一单元一张独立图，非多格sheet。；真实命中中心(0.5,0.5)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58" s="37" t="str">
        <x:v>本次只交一张独立PNG：一束紧凑深紫与冷白负形交错的数据裂片，不画烟墙。不拼图，不含其他单元。</x:v>
      </x:c>
      <x:c r="F258" s="37" t="str">
        <x:f>INDEX('素材需求'!$G$8:$G$119,MATCH(B258,'素材需求'!$A$8:$A$119,0))</x:f>
        <x:v>四种不同几何命中语汇：红色折角、白色开口弧、深紫交错裂片、浅青修长切痕；统一现代数字信号质感。</x:v>
      </x:c>
      <x:c r="G258" s="37" t="str">
        <x:f>INDEX('素材需求'!$B$8:$B$119,MATCH(B258,'素材需求'!$A$8:$A$119,0))</x:f>
        <x:v>P0常态</x:v>
      </x:c>
      <x:c r="H258" s="37" t="str">
        <x:v>游戏拆件／贴图</x:v>
      </x:c>
      <x:c r="I258" s="37" t="str">
        <x:v>每张512×512 px；统一中心与视觉重量；透明PNG（RGBA）；一单元一张独立图，非多格sheet。</x:v>
      </x:c>
      <x:c r="J258" s="37" t="str">
        <x:v>art_delivery/nm_v2/vfx/</x:v>
      </x:c>
      <x:c r="K258" s="45" t="str">
        <x:v>待生成</x:v>
      </x:c>
      <x:c r="L258" s="37" t="str">
        <x:v>black</x:v>
      </x:c>
    </x:row>
    <x:row r="259" ht="243" customHeight="1">
      <x:c r="A259" s="38" t="str">
        <x:f>INDEX('素材需求'!$D$8:$D$119,MATCH(B259,'素材需求'!$A$8:$A$119,0))&amp;IF(L259="","","_"&amp;L259)&amp;".png"</x:f>
        <x:v>nm_v2_vfx_damage_type_pale.png</x:v>
      </x:c>
      <x:c r="B259" s="38" t="str">
        <x:v>NM_V2_FX_004</x:v>
      </x:c>
      <x:c r="C259" s="38" t="str">
        <x:v>苍白伤修长切痕</x:v>
      </x:c>
      <x:c r="D259" s="38" t="str">
        <x:f>"【交付文件】"&amp;A259&amp;CHAR(10)&amp;"【本张任务】"&amp;C259&amp;CHAR(10)&amp;'生成规范'!$B$8&amp;CHAR(10)&amp;"【单张范围】"&amp;E259&amp;CHAR(10)&amp;"【本组造型约束】"&amp;INDEX('素材需求'!$F$8:$F$119,MATCH(B259,'素材需求'!$A$8:$A$119,0))&amp;CHAR(10)&amp;"【参考对象】"&amp;F259&amp;CHAR(10)&amp;"【制作规格】"&amp;I259&amp;"；"&amp;INDEX('素材需求'!$M$8:$M$119,MATCH(B259,'素材需求'!$A$8:$A$119,0))&amp;CHAR(10)&amp;"【颜色】"&amp;'生成规范'!$B$10&amp;"；"&amp;'生成规范'!$B$11&amp;CHAR(10)&amp;"【输出规则】"&amp;'生成规范'!$B$12&amp;" 后处理对齐尺寸与轴点；交付用途："&amp;H259&amp;CHAR(10)&amp;"【禁止项】"&amp;'生成规范'!$B$9&amp;"；"&amp;INDEX('素材需求'!$N$8:$N$119,MATCH(B259,'素材需求'!$A$8:$A$119,0))</x:f>
        <x:v>【交付文件】nm_v2_vfx_damage_type_pale.png
【本张任务】苍白伤修长切痕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【单张范围】本次只交一张独立PNG：一道修长浅青白切痕，中心留空，不画激光长度或冻结。不拼图，不含其他单元。
【本组造型约束】四张独立紧凑信号片段，靠轮廓同时区分而非仅换色；RED异常红短折角、WHITE冷白开口双弧、BLACK深紫交错数据裂片、PALE浅青修长切痕。与现代底图保持线条一致，不再使用旧纸墨屑；没有范围、文字、武器、角色或场景。
【参考对象】四种不同几何命中语汇：红色折角、白色开口弧、深紫交错裂片、浅青修长切痕；统一现代数字信号质感。
【制作规格】每张512×512 px；统一中心与视觉重量；透明PNG（RGBA）；一单元一张独立图，非多格sheet。；真实命中中心(0.5,0.5)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59" s="38" t="str">
        <x:v>本次只交一张独立PNG：一道修长浅青白切痕，中心留空，不画激光长度或冻结。不拼图，不含其他单元。</x:v>
      </x:c>
      <x:c r="F259" s="38" t="str">
        <x:f>INDEX('素材需求'!$G$8:$G$119,MATCH(B259,'素材需求'!$A$8:$A$119,0))</x:f>
        <x:v>四种不同几何命中语汇：红色折角、白色开口弧、深紫交错裂片、浅青修长切痕；统一现代数字信号质感。</x:v>
      </x:c>
      <x:c r="G259" s="38" t="str">
        <x:f>INDEX('素材需求'!$B$8:$B$119,MATCH(B259,'素材需求'!$A$8:$A$119,0))</x:f>
        <x:v>P0常态</x:v>
      </x:c>
      <x:c r="H259" s="38" t="str">
        <x:v>游戏拆件／贴图</x:v>
      </x:c>
      <x:c r="I259" s="38" t="str">
        <x:v>每张512×512 px；统一中心与视觉重量；透明PNG（RGBA）；一单元一张独立图，非多格sheet。</x:v>
      </x:c>
      <x:c r="J259" s="38" t="str">
        <x:v>art_delivery/nm_v2/vfx/</x:v>
      </x:c>
      <x:c r="K259" s="45" t="str">
        <x:v>待生成</x:v>
      </x:c>
      <x:c r="L259" s="38" t="str">
        <x:v>pale</x:v>
      </x:c>
    </x:row>
    <x:row r="260" ht="342.75" customHeight="1">
      <x:c r="A260" s="37" t="str">
        <x:f>INDEX('素材需求'!$D$8:$D$119,MATCH(B260,'素材需求'!$A$8:$A$119,0))&amp;IF(L260="","","_"&amp;L260)&amp;".png"</x:f>
        <x:v>nm_v2_abn_nailong_pollution_identity_approved.png</x:v>
      </x:c>
      <x:c r="B260" s="37" t="str">
        <x:v>NMV2_ABN_N01_04</x:v>
      </x:c>
      <x:c r="C260" s="37" t="str">
        <x:v>污染状态完整形象</x:v>
      </x:c>
      <x:c r="D260" s="37" t="str">
        <x:f>"【交付文件】"&amp;A260&amp;CHAR(10)&amp;"【本张任务】"&amp;C260&amp;CHAR(10)&amp;'生成规范'!$B$8&amp;CHAR(10)&amp;"【单张范围】"&amp;E260&amp;CHAR(10)&amp;"【本组造型约束】"&amp;INDEX('素材需求'!$F$8:$F$119,MATCH(B260,'素材需求'!$A$8:$A$119,0))&amp;CHAR(10)&amp;"【参考对象】"&amp;F260&amp;CHAR(10)&amp;"【制作规格】"&amp;I260&amp;"；"&amp;INDEX('素材需求'!$M$8:$M$119,MATCH(B260,'素材需求'!$A$8:$A$119,0))&amp;CHAR(10)&amp;"【颜色】"&amp;'生成规范'!$B$10&amp;"；"&amp;'生成规范'!$B$11&amp;CHAR(10)&amp;"【输出规则】"&amp;'生成规范'!$B$12&amp;" 后处理对齐尺寸与轴点；交付用途："&amp;H260&amp;CHAR(10)&amp;"【禁止项】"&amp;'生成规范'!$B$9&amp;"；"&amp;INDEX('素材需求'!$N$8:$N$119,MATCH(B260,'素材需求'!$A$8:$A$119,0))</x:f>
        <x:v>【交付文件】nm_v2_abn_nailong_pollution_identity_approved.png
【本张任务】污染状态完整形象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奶龙；保持其常态物种、肢体和体型，通过过度固定的重复发声表情表现平台污染，不附带评论框或额外特效对象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暖黄圆润短胖身体、奶白腹部、短手短脚、柔软小尾巴、圆眼与轻松小嘴；像低龄内容里的软玩偶，但有清楚的手足和足底，不是只画一个圆团。 低龄短视频反复刷到同一个表情，暖黄色圆角评论、点赞小表情与重复内容形成明亮但逐渐密集的压迫感；平台气泡/文字由独立污染层承担，不把字幕烘焙进身体。 定稿聚焦一个角色的状态，不画整间房、其他实体或平台界面大拼贴。普通体型和脚底不变。
【参考对象】圆润暖黄软胶玩偶与低龄动画吉祥物；奶白肚皮、短肢、圆眼、柔软尾巴，参考现代儿童内容的干净平面形状，避免恐怖版恐龙。 以NMV2_ABN_N01_01为同一个体；平台母题为：低龄短视频反复刷到同一个表情，暖黄色圆角评论、点赞小表情与重复内容形成明亮但逐渐密集的压迫感；平台气泡/文字由独立污染层承担，不把字幕烘焙进身体。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60" s="37" t="str">
        <x:v>只画本张：一只完整失效奶龙；保持其常态物种、肢体和体型，通过过度固定的重复发声表情表现平台污染，不附带评论框或额外特效对象；单一交付对象/姿势，不含其他零件、对照姿势、sheet、文字、背景或地面投影。</x:v>
      </x:c>
      <x:c r="F260" s="37" t="str">
        <x:f>INDEX('素材需求'!$G$8:$G$119,MATCH(B260,'素材需求'!$A$8:$A$119,0))</x:f>
        <x:v>圆润暖黄软胶玩偶与低龄动画吉祥物；奶白肚皮、短肢、圆眼、柔软尾巴，参考现代儿童内容的干净平面形状，避免恐怖版恐龙。 以NMV2_ABN_N01_01为同一个体；平台母题为：低龄短视频反复刷到同一个表情，暖黄色圆角评论、点赞小表情与重复内容形成明亮但逐渐密集的压迫感；平台气泡/文字由独立污染层承担，不把字幕烘焙进身体。</x:v>
      </x:c>
      <x:c r="G260" s="37" t="str">
        <x:f>INDEX('素材需求'!$B$8:$B$119,MATCH(B260,'素材需求'!$A$8:$A$119,0))</x:f>
        <x:v>P1局部污染</x:v>
      </x:c>
      <x:c r="H260" s="37" t="str">
        <x:v>定稿／动作参考</x:v>
      </x:c>
      <x:c r="I26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60" s="37" t="str">
        <x:v>art_delivery/nm_v2/references/</x:v>
      </x:c>
      <x:c r="K260" s="45" t="str">
        <x:v>待生成</x:v>
      </x:c>
      <x:c r="L260" s="37" t="str">
        <x:v>approved</x:v>
      </x:c>
    </x:row>
    <x:row r="261" ht="328.5" customHeight="1">
      <x:c r="A261" s="38" t="str">
        <x:f>INDEX('素材需求'!$D$8:$D$119,MATCH(B261,'素材需求'!$A$8:$A$119,0))&amp;IF(L261="","","_"&amp;L261)&amp;".png"</x:f>
        <x:v>nm_v2_abn_nailong_pollution_parts_repeat_eyes.png</x:v>
      </x:c>
      <x:c r="B261" s="38" t="str">
        <x:v>NMV2_ABN_N01_05</x:v>
      </x:c>
      <x:c r="C261" s="38" t="str">
        <x:v>重复表情双眼层</x:v>
      </x:c>
      <x:c r="D261" s="38" t="str">
        <x:f>"【交付文件】"&amp;A261&amp;CHAR(10)&amp;"【本张任务】"&amp;C261&amp;CHAR(10)&amp;'生成规范'!$B$8&amp;CHAR(10)&amp;"【单张范围】"&amp;E261&amp;CHAR(10)&amp;"【本组造型约束】"&amp;INDEX('素材需求'!$F$8:$F$119,MATCH(B261,'素材需求'!$A$8:$A$119,0))&amp;CHAR(10)&amp;"【参考对象】"&amp;F261&amp;CHAR(10)&amp;"【制作规格】"&amp;I261&amp;"；"&amp;INDEX('素材需求'!$M$8:$M$119,MATCH(B261,'素材需求'!$A$8:$A$119,0))&amp;CHAR(10)&amp;"【颜色】"&amp;'生成规范'!$B$10&amp;"；"&amp;'生成规范'!$B$11&amp;CHAR(10)&amp;"【输出规则】"&amp;'生成规范'!$B$12&amp;" 后处理对齐尺寸与轴点；交付用途："&amp;H261&amp;CHAR(10)&amp;"【禁止项】"&amp;'生成规范'!$B$9&amp;"；"&amp;INDEX('素材需求'!$N$8:$N$119,MATCH(B261,'素材需求'!$A$8:$A$119,0))</x:f>
        <x:v>【交付文件】nm_v2_abn_nailong_pollution_parts_repeat_eyes.png
【本张任务】重复表情双眼层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奶龙双眼的过度整齐、注意力固定的表情覆盖层，正常有神圆眼、少量明黄强调，透明底，无黑洞、完整头或其他部位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低龄短视频反复刷到同一个表情，暖黄色圆角评论、点赞小表情与重复内容形成明亮但逐渐密集的压迫感；平台气泡/文字由独立污染层承担，不把字幕烘焙进身体。 只增加必要的面部/胸牌局部层，不能生成另一具身体；显示本层时隐藏对应普通层，避免双眼双嘴叠印。
【参考对象】圆润暖黄软胶玩偶与低龄动画吉祥物；奶白肚皮、短肢、圆眼、柔软尾巴，参考现代儿童内容的干净平面形状，避免恐怖版恐龙。 参考NMV2_ABN_N01_04批准的单角色污染表情/胸牌，严格沿用同一面部挂点。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61" s="38" t="str">
        <x:v>只画本张：奶龙双眼的过度整齐、注意力固定的表情覆盖层，正常有神圆眼、少量明黄强调，透明底，无黑洞、完整头或其他部位；单一交付对象/姿势，不含其他零件、对照姿势、sheet、文字、背景或地面投影。</x:v>
      </x:c>
      <x:c r="F261" s="38" t="str">
        <x:f>INDEX('素材需求'!$G$8:$G$119,MATCH(B261,'素材需求'!$A$8:$A$119,0))</x:f>
        <x:v>圆润暖黄软胶玩偶与低龄动画吉祥物；奶白肚皮、短肢、圆眼、柔软尾巴，参考现代儿童内容的干净平面形状，避免恐怖版恐龙。 参考NMV2_ABN_N01_04批准的单角色污染表情/胸牌，严格沿用同一面部挂点。</x:v>
      </x:c>
      <x:c r="G261" s="38" t="str">
        <x:f>INDEX('素材需求'!$B$8:$B$119,MATCH(B261,'素材需求'!$A$8:$A$119,0))</x:f>
        <x:v>P1局部污染</x:v>
      </x:c>
      <x:c r="H261" s="38" t="str">
        <x:v>游戏拆件／贴图</x:v>
      </x:c>
      <x:c r="I26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61" s="38" t="str">
        <x:v>art_delivery/nm_v2/abnormalities/</x:v>
      </x:c>
      <x:c r="K261" s="45" t="str">
        <x:v>待生成</x:v>
      </x:c>
      <x:c r="L261" s="38" t="str">
        <x:v>repeat_eyes</x:v>
      </x:c>
    </x:row>
    <x:row r="262" ht="328.5" customHeight="1">
      <x:c r="A262" s="37" t="str">
        <x:f>INDEX('素材需求'!$D$8:$D$119,MATCH(B262,'素材需求'!$A$8:$A$119,0))&amp;IF(L262="","","_"&amp;L262)&amp;".png"</x:f>
        <x:v>nm_v2_abn_nailong_pollution_parts_repeat_mouth.png</x:v>
      </x:c>
      <x:c r="B262" s="37" t="str">
        <x:v>NMV2_ABN_N01_05</x:v>
      </x:c>
      <x:c r="C262" s="37" t="str">
        <x:v>重复发声口鼻层</x:v>
      </x:c>
      <x:c r="D262" s="37" t="str">
        <x:f>"【交付文件】"&amp;A262&amp;CHAR(10)&amp;"【本张任务】"&amp;C262&amp;CHAR(10)&amp;'生成规范'!$B$8&amp;CHAR(10)&amp;"【单张范围】"&amp;E262&amp;CHAR(10)&amp;"【本组造型约束】"&amp;INDEX('素材需求'!$F$8:$F$119,MATCH(B262,'素材需求'!$A$8:$A$119,0))&amp;CHAR(10)&amp;"【参考对象】"&amp;F262&amp;CHAR(10)&amp;"【制作规格】"&amp;I262&amp;"；"&amp;INDEX('素材需求'!$M$8:$M$119,MATCH(B262,'素材需求'!$A$8:$A$119,0))&amp;CHAR(10)&amp;"【颜色】"&amp;'生成规范'!$B$10&amp;"；"&amp;'生成规范'!$B$11&amp;CHAR(10)&amp;"【输出规则】"&amp;'生成规范'!$B$12&amp;" 后处理对齐尺寸与轴点；交付用途："&amp;H262&amp;CHAR(10)&amp;"【禁止项】"&amp;'生成规范'!$B$9&amp;"；"&amp;INDEX('素材需求'!$N$8:$N$119,MATCH(B262,'素材需求'!$A$8:$A$119,0))</x:f>
        <x:v>【交付文件】nm_v2_abn_nailong_pollution_parts_repeat_mouth.png
【本张任务】重复发声口鼻层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【单张范围】只画本张：奶龙正常大小的圆O形发声口鼻覆盖层，柔软唇线与奶白口鼻，透明底，无裂嘴、獠牙或拉长颈部；单一交付对象/姿势，不含其他零件、对照姿势、sheet、文字、背景或地面投影。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低龄短视频反复刷到同一个表情，暖黄色圆角评论、点赞小表情与重复内容形成明亮但逐渐密集的压迫感；平台气泡/文字由独立污染层承担，不把字幕烘焙进身体。 只增加必要的面部/胸牌局部层，不能生成另一具身体；显示本层时隐藏对应普通层，避免双眼双嘴叠印。
【参考对象】圆润暖黄软胶玩偶与低龄动画吉祥物；奶白肚皮、短肢、圆眼、柔软尾巴，参考现代儿童内容的干净平面形状，避免恐怖版恐龙。 参考NMV2_ABN_N01_04批准的单角色污染表情/胸牌，严格沿用同一面部挂点。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62" s="37" t="str">
        <x:v>只画本张：奶龙正常大小的圆O形发声口鼻覆盖层，柔软唇线与奶白口鼻，透明底，无裂嘴、獠牙或拉长颈部；单一交付对象/姿势，不含其他零件、对照姿势、sheet、文字、背景或地面投影。</x:v>
      </x:c>
      <x:c r="F262" s="37" t="str">
        <x:f>INDEX('素材需求'!$G$8:$G$119,MATCH(B262,'素材需求'!$A$8:$A$119,0))</x:f>
        <x:v>圆润暖黄软胶玩偶与低龄动画吉祥物；奶白肚皮、短肢、圆眼、柔软尾巴，参考现代儿童内容的干净平面形状，避免恐怖版恐龙。 参考NMV2_ABN_N01_04批准的单角色污染表情/胸牌，严格沿用同一面部挂点。</x:v>
      </x:c>
      <x:c r="G262" s="37" t="str">
        <x:f>INDEX('素材需求'!$B$8:$B$119,MATCH(B262,'素材需求'!$A$8:$A$119,0))</x:f>
        <x:v>P1局部污染</x:v>
      </x:c>
      <x:c r="H262" s="37" t="str">
        <x:v>游戏拆件／贴图</x:v>
      </x:c>
      <x:c r="I26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62" s="37" t="str">
        <x:v>art_delivery/nm_v2/abnormalities/</x:v>
      </x:c>
      <x:c r="K262" s="45" t="str">
        <x:v>待生成</x:v>
      </x:c>
      <x:c r="L262" s="37" t="str">
        <x:v>repeat_mouth</x:v>
      </x:c>
    </x:row>
    <x:row r="263" ht="342.75" customHeight="1">
      <x:c r="A263" s="38" t="str">
        <x:f>INDEX('素材需求'!$D$8:$D$119,MATCH(B263,'素材需求'!$A$8:$A$119,0))&amp;IF(L263="","","_"&amp;L263)&amp;".png"</x:f>
        <x:v>nm_v2_abn_nailong_combat_reference_walk_left_support.png</x:v>
      </x:c>
      <x:c r="B263" s="38" t="str">
        <x:v>NMV2_ABN_N01_06</x:v>
      </x:c>
      <x:c r="C263" s="38" t="str">
        <x:v>巡游步态左足支撑</x:v>
      </x:c>
      <x:c r="D263" s="38" t="str">
        <x:f>"【交付文件】"&amp;A263&amp;CHAR(10)&amp;"【本张任务】"&amp;C263&amp;CHAR(10)&amp;'生成规范'!$B$8&amp;CHAR(10)&amp;"【单张范围】"&amp;E263&amp;CHAR(10)&amp;"【本组造型约束】"&amp;INDEX('素材需求'!$F$8:$F$119,MATCH(B263,'素材需求'!$A$8:$A$119,0))&amp;CHAR(10)&amp;"【参考对象】"&amp;F263&amp;CHAR(10)&amp;"【制作规格】"&amp;I263&amp;"；"&amp;INDEX('素材需求'!$M$8:$M$119,MATCH(B263,'素材需求'!$A$8:$A$119,0))&amp;CHAR(10)&amp;"【颜色】"&amp;'生成规范'!$B$10&amp;"；"&amp;'生成规范'!$B$11&amp;CHAR(10)&amp;"【输出规则】"&amp;'生成规范'!$B$12&amp;" 后处理对齐尺寸与轴点；交付用途："&amp;H263&amp;CHAR(10)&amp;"【禁止项】"&amp;'生成规范'!$B$9&amp;"；"&amp;INDEX('素材需求'!$N$8:$N$119,MATCH(B263,'素材需求'!$A$8:$A$119,0))</x:f>
        <x:v>【交付文件】nm_v2_abn_nailong_combat_reference_walk_left_support.png
【本张任务】巡游步态左足支撑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奶龙朝右行走关键姿势，左侧足支撑、另一足自然前移，正常肢体长度，足底与地面基准一致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低龄短视频反复刷到同一个表情，暖黄色圆角评论、点赞小表情与重复内容形成明亮但逐渐密集的压迫感；平台气泡/文字由独立污染层承担，不把字幕烘焙进身体。 失效主形与既有分身追击；WHITE攻击的前摇/命中以现有引擎事件为准。重复内容通过短节奏循环动作表达，不新增分身数量、传播机制或产能。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【参考对象】圆润暖黄软胶玩偶与低龄动画吉祥物；奶白肚皮、短肢、圆眼、柔软尾巴，参考现代儿童内容的干净平面形状，避免恐怖版恐龙。 参考短步可读的重心交替与前摇—发声/挥击—回收；沿用NMV2_ABN_N01_04，不混入其他角色或技能特效。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63" s="38" t="str">
        <x:v>只画本张：一只完整失效奶龙朝右行走关键姿势，左侧足支撑、另一足自然前移，正常肢体长度，足底与地面基准一致；单一交付对象/姿势，不含其他零件、对照姿势、sheet、文字、背景或地面投影。</x:v>
      </x:c>
      <x:c r="F263" s="38" t="str">
        <x:f>INDEX('素材需求'!$G$8:$G$119,MATCH(B263,'素材需求'!$A$8:$A$119,0))</x:f>
        <x:v>圆润暖黄软胶玩偶与低龄动画吉祥物；奶白肚皮、短肢、圆眼、柔软尾巴，参考现代儿童内容的干净平面形状，避免恐怖版恐龙。 参考短步可读的重心交替与前摇—发声/挥击—回收；沿用NMV2_ABN_N01_04，不混入其他角色或技能特效。</x:v>
      </x:c>
      <x:c r="G263" s="38" t="str">
        <x:f>INDEX('素材需求'!$B$8:$B$119,MATCH(B263,'素材需求'!$A$8:$A$119,0))</x:f>
        <x:v>P1局部污染</x:v>
      </x:c>
      <x:c r="H263" s="38" t="str">
        <x:v>定稿／动作参考</x:v>
      </x:c>
      <x:c r="I26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63" s="38" t="str">
        <x:v>art_delivery/nm_v2/references/</x:v>
      </x:c>
      <x:c r="K263" s="45" t="str">
        <x:v>待生成</x:v>
      </x:c>
      <x:c r="L263" s="38" t="str">
        <x:v>walk_left_support</x:v>
      </x:c>
    </x:row>
    <x:row r="264" ht="342.75" customHeight="1">
      <x:c r="A264" s="37" t="str">
        <x:f>INDEX('素材需求'!$D$8:$D$119,MATCH(B264,'素材需求'!$A$8:$A$119,0))&amp;IF(L264="","","_"&amp;L264)&amp;".png"</x:f>
        <x:v>nm_v2_abn_nailong_combat_reference_walk_right_support.png</x:v>
      </x:c>
      <x:c r="B264" s="37" t="str">
        <x:v>NMV2_ABN_N01_06</x:v>
      </x:c>
      <x:c r="C264" s="37" t="str">
        <x:v>巡游步态右足支撑</x:v>
      </x:c>
      <x:c r="D264" s="37" t="str">
        <x:f>"【交付文件】"&amp;A264&amp;CHAR(10)&amp;"【本张任务】"&amp;C264&amp;CHAR(10)&amp;'生成规范'!$B$8&amp;CHAR(10)&amp;"【单张范围】"&amp;E264&amp;CHAR(10)&amp;"【本组造型约束】"&amp;INDEX('素材需求'!$F$8:$F$119,MATCH(B264,'素材需求'!$A$8:$A$119,0))&amp;CHAR(10)&amp;"【参考对象】"&amp;F264&amp;CHAR(10)&amp;"【制作规格】"&amp;I264&amp;"；"&amp;INDEX('素材需求'!$M$8:$M$119,MATCH(B264,'素材需求'!$A$8:$A$119,0))&amp;CHAR(10)&amp;"【颜色】"&amp;'生成规范'!$B$10&amp;"；"&amp;'生成规范'!$B$11&amp;CHAR(10)&amp;"【输出规则】"&amp;'生成规范'!$B$12&amp;" 后处理对齐尺寸与轴点；交付用途："&amp;H264&amp;CHAR(10)&amp;"【禁止项】"&amp;'生成规范'!$B$9&amp;"；"&amp;INDEX('素材需求'!$N$8:$N$119,MATCH(B264,'素材需求'!$A$8:$A$119,0))</x:f>
        <x:v>【交付文件】nm_v2_abn_nailong_combat_reference_walk_right_support.png
【本张任务】巡游步态右足支撑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【单张范围】只画本张：一只完整失效奶龙朝右行走另一关键姿势，右侧足支撑、另一足自然前移，正常肢体长度，不画运动残影；单一交付对象/姿势，不含其他零件、对照姿势、sheet、文字、背景或地面投影。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低龄短视频反复刷到同一个表情，暖黄色圆角评论、点赞小表情与重复内容形成明亮但逐渐密集的压迫感；平台气泡/文字由独立污染层承担，不把字幕烘焙进身体。 失效主形与既有分身追击；WHITE攻击的前摇/命中以现有引擎事件为准。重复内容通过短节奏循环动作表达，不新增分身数量、传播机制或产能。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【参考对象】圆润暖黄软胶玩偶与低龄动画吉祥物；奶白肚皮、短肢、圆眼、柔软尾巴，参考现代儿童内容的干净平面形状，避免恐怖版恐龙。 参考短步可读的重心交替与前摇—发声/挥击—回收；沿用NMV2_ABN_N01_04，不混入其他角色或技能特效。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64" s="37" t="str">
        <x:v>只画本张：一只完整失效奶龙朝右行走另一关键姿势，右侧足支撑、另一足自然前移，正常肢体长度，不画运动残影；单一交付对象/姿势，不含其他零件、对照姿势、sheet、文字、背景或地面投影。</x:v>
      </x:c>
      <x:c r="F264" s="37" t="str">
        <x:f>INDEX('素材需求'!$G$8:$G$119,MATCH(B264,'素材需求'!$A$8:$A$119,0))</x:f>
        <x:v>圆润暖黄软胶玩偶与低龄动画吉祥物；奶白肚皮、短肢、圆眼、柔软尾巴，参考现代儿童内容的干净平面形状，避免恐怖版恐龙。 参考短步可读的重心交替与前摇—发声/挥击—回收；沿用NMV2_ABN_N01_04，不混入其他角色或技能特效。</x:v>
      </x:c>
      <x:c r="G264" s="37" t="str">
        <x:f>INDEX('素材需求'!$B$8:$B$119,MATCH(B264,'素材需求'!$A$8:$A$119,0))</x:f>
        <x:v>P1局部污染</x:v>
      </x:c>
      <x:c r="H264" s="37" t="str">
        <x:v>定稿／动作参考</x:v>
      </x:c>
      <x:c r="I26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64" s="37" t="str">
        <x:v>art_delivery/nm_v2/references/</x:v>
      </x:c>
      <x:c r="K264" s="45" t="str">
        <x:v>待生成</x:v>
      </x:c>
      <x:c r="L264" s="37" t="str">
        <x:v>walk_right_support</x:v>
      </x:c>
    </x:row>
    <x:row r="265" ht="342.75" customHeight="1">
      <x:c r="A265" s="38" t="str">
        <x:f>INDEX('素材需求'!$D$8:$D$119,MATCH(B265,'素材需求'!$A$8:$A$119,0))&amp;IF(L265="","","_"&amp;L265)&amp;".png"</x:f>
        <x:v>nm_v2_abn_nailong_combat_reference_windup.png</x:v>
      </x:c>
      <x:c r="B265" s="38" t="str">
        <x:v>NMV2_ABN_N01_06</x:v>
      </x:c>
      <x:c r="C265" s="38" t="str">
        <x:v>攻击前摇参考</x:v>
      </x:c>
      <x:c r="D265" s="38" t="str">
        <x:f>"【交付文件】"&amp;A265&amp;CHAR(10)&amp;"【本张任务】"&amp;C265&amp;CHAR(10)&amp;'生成规范'!$B$8&amp;CHAR(10)&amp;"【单张范围】"&amp;E265&amp;CHAR(10)&amp;"【本组造型约束】"&amp;INDEX('素材需求'!$F$8:$F$119,MATCH(B265,'素材需求'!$A$8:$A$119,0))&amp;CHAR(10)&amp;"【参考对象】"&amp;F265&amp;CHAR(10)&amp;"【制作规格】"&amp;I265&amp;"；"&amp;INDEX('素材需求'!$M$8:$M$119,MATCH(B265,'素材需求'!$A$8:$A$119,0))&amp;CHAR(10)&amp;"【颜色】"&amp;'生成规范'!$B$10&amp;"；"&amp;'生成规范'!$B$11&amp;CHAR(10)&amp;"【输出规则】"&amp;'生成规范'!$B$12&amp;" 后处理对齐尺寸与轴点；交付用途："&amp;H265&amp;CHAR(10)&amp;"【禁止项】"&amp;'生成规范'!$B$9&amp;"；"&amp;INDEX('素材需求'!$N$8:$N$119,MATCH(B265,'素材需求'!$A$8:$A$119,0))</x:f>
        <x:v>【交付文件】nm_v2_abn_nailong_combat_reference_windup.png
【本张任务】攻击前摇参考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奶龙短手收拢、正常圆嘴预备发声、身体略蓄势，足底锚点不变，面部保持可爱并有机械式重复感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低龄短视频反复刷到同一个表情，暖黄色圆角评论、点赞小表情与重复内容形成明亮但逐渐密集的压迫感；平台气泡/文字由独立污染层承担，不把字幕烘焙进身体。 失效主形与既有分身追击；WHITE攻击的前摇/命中以现有引擎事件为准。重复内容通过短节奏循环动作表达，不新增分身数量、传播机制或产能。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【参考对象】圆润暖黄软胶玩偶与低龄动画吉祥物；奶白肚皮、短肢、圆眼、柔软尾巴，参考现代儿童内容的干净平面形状，避免恐怖版恐龙。 参考短步可读的重心交替与前摇—发声/挥击—回收；沿用NMV2_ABN_N01_04，不混入其他角色或技能特效。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65" s="38" t="str">
        <x:v>只画本张：一只完整失效奶龙短手收拢、正常圆嘴预备发声、身体略蓄势，足底锚点不变，面部保持可爱并有机械式重复感；单一交付对象/姿势，不含其他零件、对照姿势、sheet、文字、背景或地面投影。</x:v>
      </x:c>
      <x:c r="F265" s="38" t="str">
        <x:f>INDEX('素材需求'!$G$8:$G$119,MATCH(B265,'素材需求'!$A$8:$A$119,0))</x:f>
        <x:v>圆润暖黄软胶玩偶与低龄动画吉祥物；奶白肚皮、短肢、圆眼、柔软尾巴，参考现代儿童内容的干净平面形状，避免恐怖版恐龙。 参考短步可读的重心交替与前摇—发声/挥击—回收；沿用NMV2_ABN_N01_04，不混入其他角色或技能特效。</x:v>
      </x:c>
      <x:c r="G265" s="38" t="str">
        <x:f>INDEX('素材需求'!$B$8:$B$119,MATCH(B265,'素材需求'!$A$8:$A$119,0))</x:f>
        <x:v>P1局部污染</x:v>
      </x:c>
      <x:c r="H265" s="38" t="str">
        <x:v>定稿／动作参考</x:v>
      </x:c>
      <x:c r="I26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65" s="38" t="str">
        <x:v>art_delivery/nm_v2/references/</x:v>
      </x:c>
      <x:c r="K265" s="45" t="str">
        <x:v>待生成</x:v>
      </x:c>
      <x:c r="L265" s="38" t="str">
        <x:v>windup</x:v>
      </x:c>
    </x:row>
    <x:row r="266" ht="342.75" customHeight="1">
      <x:c r="A266" s="37" t="str">
        <x:f>INDEX('素材需求'!$D$8:$D$119,MATCH(B266,'素材需求'!$A$8:$A$119,0))&amp;IF(L266="","","_"&amp;L266)&amp;".png"</x:f>
        <x:v>nm_v2_abn_nailong_combat_reference_attack_peak.png</x:v>
      </x:c>
      <x:c r="B266" s="37" t="str">
        <x:v>NMV2_ABN_N01_06</x:v>
      </x:c>
      <x:c r="C266" s="37" t="str">
        <x:v>攻击命中姿势参考</x:v>
      </x:c>
      <x:c r="D266" s="37" t="str">
        <x:f>"【交付文件】"&amp;A266&amp;CHAR(10)&amp;"【本张任务】"&amp;C266&amp;CHAR(10)&amp;'生成规范'!$B$8&amp;CHAR(10)&amp;"【单张范围】"&amp;E266&amp;CHAR(10)&amp;"【本组造型约束】"&amp;INDEX('素材需求'!$F$8:$F$119,MATCH(B266,'素材需求'!$A$8:$A$119,0))&amp;CHAR(10)&amp;"【参考对象】"&amp;F266&amp;CHAR(10)&amp;"【制作规格】"&amp;I266&amp;"；"&amp;INDEX('素材需求'!$M$8:$M$119,MATCH(B266,'素材需求'!$A$8:$A$119,0))&amp;CHAR(10)&amp;"【颜色】"&amp;'生成规范'!$B$10&amp;"；"&amp;'生成规范'!$B$11&amp;CHAR(10)&amp;"【输出规则】"&amp;'生成规范'!$B$12&amp;" 后处理对齐尺寸与轴点；交付用途："&amp;H266&amp;CHAR(10)&amp;"【禁止项】"&amp;'生成规范'!$B$9&amp;"；"&amp;INDEX('素材需求'!$N$8:$N$119,MATCH(B266,'素材需求'!$A$8:$A$119,0))</x:f>
        <x:v>【交付文件】nm_v2_abn_nailong_combat_reference_attack_peak.png
【本张任务】攻击命中姿势参考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奶龙朝右短促伸手并以正常圆嘴发声，像重复播放的同一姿势；不画分身、气泡、能量束或攻击命中特效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低龄短视频反复刷到同一个表情，暖黄色圆角评论、点赞小表情与重复内容形成明亮但逐渐密集的压迫感；平台气泡/文字由独立污染层承担，不把字幕烘焙进身体。 失效主形与既有分身追击；WHITE攻击的前摇/命中以现有引擎事件为准。重复内容通过短节奏循环动作表达，不新增分身数量、传播机制或产能。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【参考对象】圆润暖黄软胶玩偶与低龄动画吉祥物；奶白肚皮、短肢、圆眼、柔软尾巴，参考现代儿童内容的干净平面形状，避免恐怖版恐龙。 参考短步可读的重心交替与前摇—发声/挥击—回收；沿用NMV2_ABN_N01_04，不混入其他角色或技能特效。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66" s="37" t="str">
        <x:v>只画本张：一只完整失效奶龙朝右短促伸手并以正常圆嘴发声，像重复播放的同一姿势；不画分身、气泡、能量束或攻击命中特效；单一交付对象/姿势，不含其他零件、对照姿势、sheet、文字、背景或地面投影。</x:v>
      </x:c>
      <x:c r="F266" s="37" t="str">
        <x:f>INDEX('素材需求'!$G$8:$G$119,MATCH(B266,'素材需求'!$A$8:$A$119,0))</x:f>
        <x:v>圆润暖黄软胶玩偶与低龄动画吉祥物；奶白肚皮、短肢、圆眼、柔软尾巴，参考现代儿童内容的干净平面形状，避免恐怖版恐龙。 参考短步可读的重心交替与前摇—发声/挥击—回收；沿用NMV2_ABN_N01_04，不混入其他角色或技能特效。</x:v>
      </x:c>
      <x:c r="G266" s="37" t="str">
        <x:f>INDEX('素材需求'!$B$8:$B$119,MATCH(B266,'素材需求'!$A$8:$A$119,0))</x:f>
        <x:v>P1局部污染</x:v>
      </x:c>
      <x:c r="H266" s="37" t="str">
        <x:v>定稿／动作参考</x:v>
      </x:c>
      <x:c r="I26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66" s="37" t="str">
        <x:v>art_delivery/nm_v2/references/</x:v>
      </x:c>
      <x:c r="K266" s="45" t="str">
        <x:v>待生成</x:v>
      </x:c>
      <x:c r="L266" s="37" t="str">
        <x:v>attack_peak</x:v>
      </x:c>
    </x:row>
    <x:row r="267" ht="342.75" customHeight="1">
      <x:c r="A267" s="38" t="str">
        <x:f>INDEX('素材需求'!$D$8:$D$119,MATCH(B267,'素材需求'!$A$8:$A$119,0))&amp;IF(L267="","","_"&amp;L267)&amp;".png"</x:f>
        <x:v>nm_v2_abn_nailong_combat_reference_hit_recoil.png</x:v>
      </x:c>
      <x:c r="B267" s="38" t="str">
        <x:v>NMV2_ABN_N01_06</x:v>
      </x:c>
      <x:c r="C267" s="38" t="str">
        <x:v>受击反馈参考</x:v>
      </x:c>
      <x:c r="D267" s="38" t="str">
        <x:f>"【交付文件】"&amp;A267&amp;CHAR(10)&amp;"【本张任务】"&amp;C267&amp;CHAR(10)&amp;'生成规范'!$B$8&amp;CHAR(10)&amp;"【单张范围】"&amp;E267&amp;CHAR(10)&amp;"【本组造型约束】"&amp;INDEX('素材需求'!$F$8:$F$119,MATCH(B267,'素材需求'!$A$8:$A$119,0))&amp;CHAR(10)&amp;"【参考对象】"&amp;F267&amp;CHAR(10)&amp;"【制作规格】"&amp;I267&amp;"；"&amp;INDEX('素材需求'!$M$8:$M$119,MATCH(B267,'素材需求'!$A$8:$A$119,0))&amp;CHAR(10)&amp;"【颜色】"&amp;'生成规范'!$B$10&amp;"；"&amp;'生成规范'!$B$11&amp;CHAR(10)&amp;"【输出规则】"&amp;'生成规范'!$B$12&amp;" 后处理对齐尺寸与轴点；交付用途："&amp;H267&amp;CHAR(10)&amp;"【禁止项】"&amp;'生成规范'!$B$9&amp;"；"&amp;INDEX('素材需求'!$N$8:$N$119,MATCH(B267,'素材需求'!$A$8:$A$119,0))</x:f>
        <x:v>【交付文件】nm_v2_abn_nailong_combat_reference_hit_recoil.png
【本张任务】受击反馈参考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【单张范围】只画本张：一只完整失效奶龙受到一次现有攻击后的短促收缩/偏头姿势，足底不传送，无伤口、血液或死亡形态；单一交付对象/姿势，不含其他零件、对照姿势、sheet、文字、背景或地面投影。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低龄短视频反复刷到同一个表情，暖黄色圆角评论、点赞小表情与重复内容形成明亮但逐渐密集的压迫感；平台气泡/文字由独立污染层承担，不把字幕烘焙进身体。 失效主形与既有分身追击；WHITE攻击的前摇/命中以现有引擎事件为准。重复内容通过短节奏循环动作表达，不新增分身数量、传播机制或产能。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【参考对象】圆润暖黄软胶玩偶与低龄动画吉祥物；奶白肚皮、短肢、圆眼、柔软尾巴，参考现代儿童内容的干净平面形状，避免恐怖版恐龙。 参考短步可读的重心交替与前摇—发声/挥击—回收；沿用NMV2_ABN_N01_04，不混入其他角色或技能特效。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脚地面中点；1024×1024装配母版(512,896)，常态和失效共用根、体型与颈肩/髋/尾根挂点，朝右，可镜像。头颈根、上下肢根与面部层需各记录局部pivot。分身共用同一套素材按引擎现有比例缩放，不单独出图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67" s="38" t="str">
        <x:v>只画本张：一只完整失效奶龙受到一次现有攻击后的短促收缩/偏头姿势，足底不传送，无伤口、血液或死亡形态；单一交付对象/姿势，不含其他零件、对照姿势、sheet、文字、背景或地面投影。</x:v>
      </x:c>
      <x:c r="F267" s="38" t="str">
        <x:f>INDEX('素材需求'!$G$8:$G$119,MATCH(B267,'素材需求'!$A$8:$A$119,0))</x:f>
        <x:v>圆润暖黄软胶玩偶与低龄动画吉祥物；奶白肚皮、短肢、圆眼、柔软尾巴，参考现代儿童内容的干净平面形状，避免恐怖版恐龙。 参考短步可读的重心交替与前摇—发声/挥击—回收；沿用NMV2_ABN_N01_04，不混入其他角色或技能特效。</x:v>
      </x:c>
      <x:c r="G267" s="38" t="str">
        <x:f>INDEX('素材需求'!$B$8:$B$119,MATCH(B267,'素材需求'!$A$8:$A$119,0))</x:f>
        <x:v>P1局部污染</x:v>
      </x:c>
      <x:c r="H267" s="38" t="str">
        <x:v>定稿／动作参考</x:v>
      </x:c>
      <x:c r="I26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67" s="38" t="str">
        <x:v>art_delivery/nm_v2/references/</x:v>
      </x:c>
      <x:c r="K267" s="45" t="str">
        <x:v>待生成</x:v>
      </x:c>
      <x:c r="L267" s="38" t="str">
        <x:v>hit_recoil</x:v>
      </x:c>
    </x:row>
    <x:row r="268" ht="342.75" customHeight="1">
      <x:c r="A268" s="37" t="str">
        <x:f>INDEX('素材需求'!$D$8:$D$119,MATCH(B268,'素材需求'!$A$8:$A$119,0))&amp;IF(L268="","","_"&amp;L268)&amp;".png"</x:f>
        <x:v>nm_v2_abn_maodie_pollution_identity_approved.png</x:v>
      </x:c>
      <x:c r="B268" s="37" t="str">
        <x:v>NMV2_ABN_N02_04</x:v>
      </x:c>
      <x:c r="C268" s="37" t="str">
        <x:v>污染状态完整形象</x:v>
      </x:c>
      <x:c r="D268" s="37" t="str">
        <x:f>"【交付文件】"&amp;A268&amp;CHAR(10)&amp;"【本张任务】"&amp;C268&amp;CHAR(10)&amp;'生成规范'!$B$8&amp;CHAR(10)&amp;"【单张范围】"&amp;E268&amp;CHAR(10)&amp;"【本组造型约束】"&amp;INDEX('素材需求'!$F$8:$F$119,MATCH(B268,'素材需求'!$A$8:$A$119,0))&amp;CHAR(10)&amp;"【参考对象】"&amp;F268&amp;CHAR(10)&amp;"【制作规格】"&amp;I268&amp;"；"&amp;INDEX('素材需求'!$M$8:$M$119,MATCH(B268,'素材需求'!$A$8:$A$119,0))&amp;CHAR(10)&amp;"【颜色】"&amp;'生成规范'!$B$10&amp;"；"&amp;'生成规范'!$B$11&amp;CHAR(10)&amp;"【输出规则】"&amp;'生成规范'!$B$12&amp;" 后处理对齐尺寸与轴点；交付用途："&amp;H268&amp;CHAR(10)&amp;"【禁止项】"&amp;'生成规范'!$B$9&amp;"；"&amp;INDEX('素材需求'!$N$8:$N$119,MATCH(B268,'素材需求'!$A$8:$A$119,0))</x:f>
        <x:v>【交付文件】nm_v2_abn_maodie_pollution_identity_approved.png
【本张任务】污染状态完整形象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耄耋；保持其常态物种、肢体和体型，通过爆炸性发言式眉眼与张嘴表现平台污染，不附带评论框或额外特效对象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暖灰与脏粉相配的短躯干猫，三角耳、略有棱角的脸轮廓、可读的眉眼、真实比例的短前肢与后足、弯曲尾巴；荒诞且情绪多变，但不是僵尸猫或长肢怪。 像评论区争吵突然爆发的情绪表情包：眉眼和张嘴形状夸张，局部脏粉/异常红提升；感叹号、争吵气泡、负面评论由外部污染层呈现，不绘成角色新增武器。 定稿聚焦一个角色的状态，不画整间房、其他实体或平台界面大拼贴。普通体型和脚底不变。
【参考对象】暖灰短毛猫的三角耳、圆角方脸与翘尾；结合情绪表情包里不耐烦、震惊、气鼓鼓的眉眼，使用简洁扁平色块和脏粉耳内色。 以NMV2_ABN_N02_01为同一个体；平台母题为：像评论区争吵突然爆发的情绪表情包：眉眼和张嘴形状夸张，局部脏粉/异常红提升；感叹号、争吵气泡、负面评论由外部污染层呈现，不绘成角色新增武器。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68" s="37" t="str">
        <x:v>只画本张：一只完整失效耄耋；保持其常态物种、肢体和体型，通过爆炸性发言式眉眼与张嘴表现平台污染，不附带评论框或额外特效对象；单一交付对象/姿势，不含其他零件、对照姿势、sheet、文字、背景或地面投影。</x:v>
      </x:c>
      <x:c r="F268" s="37" t="str">
        <x:f>INDEX('素材需求'!$G$8:$G$119,MATCH(B268,'素材需求'!$A$8:$A$119,0))</x:f>
        <x:v>暖灰短毛猫的三角耳、圆角方脸与翘尾；结合情绪表情包里不耐烦、震惊、气鼓鼓的眉眼，使用简洁扁平色块和脏粉耳内色。 以NMV2_ABN_N02_01为同一个体；平台母题为：像评论区争吵突然爆发的情绪表情包：眉眼和张嘴形状夸张，局部脏粉/异常红提升；感叹号、争吵气泡、负面评论由外部污染层呈现，不绘成角色新增武器。</x:v>
      </x:c>
      <x:c r="G268" s="37" t="str">
        <x:f>INDEX('素材需求'!$B$8:$B$119,MATCH(B268,'素材需求'!$A$8:$A$119,0))</x:f>
        <x:v>P1局部污染</x:v>
      </x:c>
      <x:c r="H268" s="37" t="str">
        <x:v>定稿／动作参考</x:v>
      </x:c>
      <x:c r="I26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68" s="37" t="str">
        <x:v>art_delivery/nm_v2/references/</x:v>
      </x:c>
      <x:c r="K268" s="45" t="str">
        <x:v>待生成</x:v>
      </x:c>
      <x:c r="L268" s="37" t="str">
        <x:v>approved</x:v>
      </x:c>
    </x:row>
    <x:row r="269" ht="328.5" customHeight="1">
      <x:c r="A269" s="38" t="str">
        <x:f>INDEX('素材需求'!$D$8:$D$119,MATCH(B269,'素材需求'!$A$8:$A$119,0))&amp;IF(L269="","","_"&amp;L269)&amp;".png"</x:f>
        <x:v>nm_v2_abn_maodie_pollution_parts_outburst_face.png</x:v>
      </x:c>
      <x:c r="B269" s="38" t="str">
        <x:v>NMV2_ABN_N02_05</x:v>
      </x:c>
      <x:c r="C269" s="38" t="str">
        <x:v>情绪爆发脸层</x:v>
      </x:c>
      <x:c r="D269" s="38" t="str">
        <x:f>"【交付文件】"&amp;A269&amp;CHAR(10)&amp;"【本张任务】"&amp;C269&amp;CHAR(10)&amp;'生成规范'!$B$8&amp;CHAR(10)&amp;"【单张范围】"&amp;E269&amp;CHAR(10)&amp;"【本组造型约束】"&amp;INDEX('素材需求'!$F$8:$F$119,MATCH(B269,'素材需求'!$A$8:$A$119,0))&amp;CHAR(10)&amp;"【参考对象】"&amp;F269&amp;CHAR(10)&amp;"【制作规格】"&amp;I269&amp;"；"&amp;INDEX('素材需求'!$M$8:$M$119,MATCH(B269,'素材需求'!$A$8:$A$119,0))&amp;CHAR(10)&amp;"【颜色】"&amp;'生成规范'!$B$10&amp;"；"&amp;'生成规范'!$B$11&amp;CHAR(10)&amp;"【输出规则】"&amp;'生成规范'!$B$12&amp;" 后处理对齐尺寸与轴点；交付用途："&amp;H269&amp;CHAR(10)&amp;"【禁止项】"&amp;'生成规范'!$B$9&amp;"；"&amp;INDEX('素材需求'!$N$8:$N$119,MATCH(B269,'素材需求'!$A$8:$A$119,0))</x:f>
        <x:v>【交付文件】nm_v2_abn_maodie_pollution_parts_outburst_face.png
【本张任务】情绪爆发脸层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耄耋一套愤怒眉眼与正常猫嘴张口的面部覆盖层，像爆炸性发言表情包，透明底，无长牙、黑洞眼、完整头或伤口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像评论区争吵突然爆发的情绪表情包：眉眼和张嘴形状夸张，局部脏粉/异常红提升；感叹号、争吵气泡、负面评论由外部污染层呈现，不绘成角色新增武器。 只增加必要的面部/胸牌局部层，不能生成另一具身体；显示本层时隐藏对应普通层，避免双眼双嘴叠印。
【参考对象】暖灰短毛猫的三角耳、圆角方脸与翘尾；结合情绪表情包里不耐烦、震惊、气鼓鼓的眉眼，使用简洁扁平色块和脏粉耳内色。 参考NMV2_ABN_N02_04批准的单角色污染表情/胸牌，严格沿用同一面部挂点。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69" s="38" t="str">
        <x:v>只画本张：耄耋一套愤怒眉眼与正常猫嘴张口的面部覆盖层，像爆炸性发言表情包，透明底，无长牙、黑洞眼、完整头或伤口；单一交付对象/姿势，不含其他零件、对照姿势、sheet、文字、背景或地面投影。</x:v>
      </x:c>
      <x:c r="F269" s="38" t="str">
        <x:f>INDEX('素材需求'!$G$8:$G$119,MATCH(B269,'素材需求'!$A$8:$A$119,0))</x:f>
        <x:v>暖灰短毛猫的三角耳、圆角方脸与翘尾；结合情绪表情包里不耐烦、震惊、气鼓鼓的眉眼，使用简洁扁平色块和脏粉耳内色。 参考NMV2_ABN_N02_04批准的单角色污染表情/胸牌，严格沿用同一面部挂点。</x:v>
      </x:c>
      <x:c r="G269" s="38" t="str">
        <x:f>INDEX('素材需求'!$B$8:$B$119,MATCH(B269,'素材需求'!$A$8:$A$119,0))</x:f>
        <x:v>P1局部污染</x:v>
      </x:c>
      <x:c r="H269" s="38" t="str">
        <x:v>游戏拆件／贴图</x:v>
      </x:c>
      <x:c r="I26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69" s="38" t="str">
        <x:v>art_delivery/nm_v2/abnormalities/</x:v>
      </x:c>
      <x:c r="K269" s="45" t="str">
        <x:v>待生成</x:v>
      </x:c>
      <x:c r="L269" s="38" t="str">
        <x:v>outburst_face</x:v>
      </x:c>
    </x:row>
    <x:row r="270" ht="342.75" customHeight="1">
      <x:c r="A270" s="37" t="str">
        <x:f>INDEX('素材需求'!$D$8:$D$119,MATCH(B270,'素材需求'!$A$8:$A$119,0))&amp;IF(L270="","","_"&amp;L270)&amp;".png"</x:f>
        <x:v>nm_v2_abn_maodie_combat_reference_walk_left_support.png</x:v>
      </x:c>
      <x:c r="B270" s="37" t="str">
        <x:v>NMV2_ABN_N02_06</x:v>
      </x:c>
      <x:c r="C270" s="37" t="str">
        <x:v>巡游步态左足支撑</x:v>
      </x:c>
      <x:c r="D270" s="37" t="str">
        <x:f>"【交付文件】"&amp;A270&amp;CHAR(10)&amp;"【本张任务】"&amp;C270&amp;CHAR(10)&amp;'生成规范'!$B$8&amp;CHAR(10)&amp;"【单张范围】"&amp;E270&amp;CHAR(10)&amp;"【本组造型约束】"&amp;INDEX('素材需求'!$F$8:$F$119,MATCH(B270,'素材需求'!$A$8:$A$119,0))&amp;CHAR(10)&amp;"【参考对象】"&amp;F270&amp;CHAR(10)&amp;"【制作规格】"&amp;I270&amp;"；"&amp;INDEX('素材需求'!$M$8:$M$119,MATCH(B270,'素材需求'!$A$8:$A$119,0))&amp;CHAR(10)&amp;"【颜色】"&amp;'生成规范'!$B$10&amp;"；"&amp;'生成规范'!$B$11&amp;CHAR(10)&amp;"【输出规则】"&amp;'生成规范'!$B$12&amp;" 后处理对齐尺寸与轴点；交付用途："&amp;H270&amp;CHAR(10)&amp;"【禁止项】"&amp;'生成规范'!$B$9&amp;"；"&amp;INDEX('素材需求'!$N$8:$N$119,MATCH(B270,'素材需求'!$A$8:$A$119,0))</x:f>
        <x:v>【交付文件】nm_v2_abn_maodie_combat_reference_walk_left_support.png
【本张任务】巡游步态左足支撑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耄耋朝右行走关键姿势，左侧足支撑、另一足自然前移，正常肢体长度，足底与地面基准一致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像评论区争吵突然爆发的情绪表情包：眉眼和张嘴形状夸张，局部脏粉/异常红提升；感叹号、争吵气泡、负面评论由外部污染层呈现，不绘成角色新增武器。 失效追击与RED近身爪击使用原引擎前摇和射程；情绪化是表情与局部污染表现，不添加情绪资源、攻击模式或额外命中。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【参考对象】暖灰短毛猫的三角耳、圆角方脸与翘尾；结合情绪表情包里不耐烦、震惊、气鼓鼓的眉眼，使用简洁扁平色块和脏粉耳内色。 参考短步可读的重心交替与前摇—发声/挥击—回收；沿用NMV2_ABN_N02_04，不混入其他角色或技能特效。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70" s="37" t="str">
        <x:v>只画本张：一只完整失效耄耋朝右行走关键姿势，左侧足支撑、另一足自然前移，正常肢体长度，足底与地面基准一致；单一交付对象/姿势，不含其他零件、对照姿势、sheet、文字、背景或地面投影。</x:v>
      </x:c>
      <x:c r="F270" s="37" t="str">
        <x:f>INDEX('素材需求'!$G$8:$G$119,MATCH(B270,'素材需求'!$A$8:$A$119,0))</x:f>
        <x:v>暖灰短毛猫的三角耳、圆角方脸与翘尾；结合情绪表情包里不耐烦、震惊、气鼓鼓的眉眼，使用简洁扁平色块和脏粉耳内色。 参考短步可读的重心交替与前摇—发声/挥击—回收；沿用NMV2_ABN_N02_04，不混入其他角色或技能特效。</x:v>
      </x:c>
      <x:c r="G270" s="37" t="str">
        <x:f>INDEX('素材需求'!$B$8:$B$119,MATCH(B270,'素材需求'!$A$8:$A$119,0))</x:f>
        <x:v>P1局部污染</x:v>
      </x:c>
      <x:c r="H270" s="37" t="str">
        <x:v>定稿／动作参考</x:v>
      </x:c>
      <x:c r="I27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70" s="37" t="str">
        <x:v>art_delivery/nm_v2/references/</x:v>
      </x:c>
      <x:c r="K270" s="45" t="str">
        <x:v>待生成</x:v>
      </x:c>
      <x:c r="L270" s="37" t="str">
        <x:v>walk_left_support</x:v>
      </x:c>
    </x:row>
    <x:row r="271" ht="342.75" customHeight="1">
      <x:c r="A271" s="38" t="str">
        <x:f>INDEX('素材需求'!$D$8:$D$119,MATCH(B271,'素材需求'!$A$8:$A$119,0))&amp;IF(L271="","","_"&amp;L271)&amp;".png"</x:f>
        <x:v>nm_v2_abn_maodie_combat_reference_walk_right_support.png</x:v>
      </x:c>
      <x:c r="B271" s="38" t="str">
        <x:v>NMV2_ABN_N02_06</x:v>
      </x:c>
      <x:c r="C271" s="38" t="str">
        <x:v>巡游步态右足支撑</x:v>
      </x:c>
      <x:c r="D271" s="38" t="str">
        <x:f>"【交付文件】"&amp;A271&amp;CHAR(10)&amp;"【本张任务】"&amp;C271&amp;CHAR(10)&amp;'生成规范'!$B$8&amp;CHAR(10)&amp;"【单张范围】"&amp;E271&amp;CHAR(10)&amp;"【本组造型约束】"&amp;INDEX('素材需求'!$F$8:$F$119,MATCH(B271,'素材需求'!$A$8:$A$119,0))&amp;CHAR(10)&amp;"【参考对象】"&amp;F271&amp;CHAR(10)&amp;"【制作规格】"&amp;I271&amp;"；"&amp;INDEX('素材需求'!$M$8:$M$119,MATCH(B271,'素材需求'!$A$8:$A$119,0))&amp;CHAR(10)&amp;"【颜色】"&amp;'生成规范'!$B$10&amp;"；"&amp;'生成规范'!$B$11&amp;CHAR(10)&amp;"【输出规则】"&amp;'生成规范'!$B$12&amp;" 后处理对齐尺寸与轴点；交付用途："&amp;H271&amp;CHAR(10)&amp;"【禁止项】"&amp;'生成规范'!$B$9&amp;"；"&amp;INDEX('素材需求'!$N$8:$N$119,MATCH(B271,'素材需求'!$A$8:$A$119,0))</x:f>
        <x:v>【交付文件】nm_v2_abn_maodie_combat_reference_walk_right_support.png
【本张任务】巡游步态右足支撑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【单张范围】只画本张：一只完整失效耄耋朝右行走另一关键姿势，右侧足支撑、另一足自然前移，正常肢体长度，不画运动残影；单一交付对象/姿势，不含其他零件、对照姿势、sheet、文字、背景或地面投影。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像评论区争吵突然爆发的情绪表情包：眉眼和张嘴形状夸张，局部脏粉/异常红提升；感叹号、争吵气泡、负面评论由外部污染层呈现，不绘成角色新增武器。 失效追击与RED近身爪击使用原引擎前摇和射程；情绪化是表情与局部污染表现，不添加情绪资源、攻击模式或额外命中。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【参考对象】暖灰短毛猫的三角耳、圆角方脸与翘尾；结合情绪表情包里不耐烦、震惊、气鼓鼓的眉眼，使用简洁扁平色块和脏粉耳内色。 参考短步可读的重心交替与前摇—发声/挥击—回收；沿用NMV2_ABN_N02_04，不混入其他角色或技能特效。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71" s="38" t="str">
        <x:v>只画本张：一只完整失效耄耋朝右行走另一关键姿势，右侧足支撑、另一足自然前移，正常肢体长度，不画运动残影；单一交付对象/姿势，不含其他零件、对照姿势、sheet、文字、背景或地面投影。</x:v>
      </x:c>
      <x:c r="F271" s="38" t="str">
        <x:f>INDEX('素材需求'!$G$8:$G$119,MATCH(B271,'素材需求'!$A$8:$A$119,0))</x:f>
        <x:v>暖灰短毛猫的三角耳、圆角方脸与翘尾；结合情绪表情包里不耐烦、震惊、气鼓鼓的眉眼，使用简洁扁平色块和脏粉耳内色。 参考短步可读的重心交替与前摇—发声/挥击—回收；沿用NMV2_ABN_N02_04，不混入其他角色或技能特效。</x:v>
      </x:c>
      <x:c r="G271" s="38" t="str">
        <x:f>INDEX('素材需求'!$B$8:$B$119,MATCH(B271,'素材需求'!$A$8:$A$119,0))</x:f>
        <x:v>P1局部污染</x:v>
      </x:c>
      <x:c r="H271" s="38" t="str">
        <x:v>定稿／动作参考</x:v>
      </x:c>
      <x:c r="I27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71" s="38" t="str">
        <x:v>art_delivery/nm_v2/references/</x:v>
      </x:c>
      <x:c r="K271" s="45" t="str">
        <x:v>待生成</x:v>
      </x:c>
      <x:c r="L271" s="38" t="str">
        <x:v>walk_right_support</x:v>
      </x:c>
    </x:row>
    <x:row r="272" ht="342.75" customHeight="1">
      <x:c r="A272" s="37" t="str">
        <x:f>INDEX('素材需求'!$D$8:$D$119,MATCH(B272,'素材需求'!$A$8:$A$119,0))&amp;IF(L272="","","_"&amp;L272)&amp;".png"</x:f>
        <x:v>nm_v2_abn_maodie_combat_reference_windup.png</x:v>
      </x:c>
      <x:c r="B272" s="37" t="str">
        <x:v>NMV2_ABN_N02_06</x:v>
      </x:c>
      <x:c r="C272" s="37" t="str">
        <x:v>攻击前摇参考</x:v>
      </x:c>
      <x:c r="D272" s="37" t="str">
        <x:f>"【交付文件】"&amp;A272&amp;CHAR(10)&amp;"【本张任务】"&amp;C272&amp;CHAR(10)&amp;'生成规范'!$B$8&amp;CHAR(10)&amp;"【单张范围】"&amp;E272&amp;CHAR(10)&amp;"【本组造型约束】"&amp;INDEX('素材需求'!$F$8:$F$119,MATCH(B272,'素材需求'!$A$8:$A$119,0))&amp;CHAR(10)&amp;"【参考对象】"&amp;F272&amp;CHAR(10)&amp;"【制作规格】"&amp;I272&amp;"；"&amp;INDEX('素材需求'!$M$8:$M$119,MATCH(B272,'素材需求'!$A$8:$A$119,0))&amp;CHAR(10)&amp;"【颜色】"&amp;'生成规范'!$B$10&amp;"；"&amp;'生成规范'!$B$11&amp;CHAR(10)&amp;"【输出规则】"&amp;'生成规范'!$B$12&amp;" 后处理对齐尺寸与轴点；交付用途："&amp;H272&amp;CHAR(10)&amp;"【禁止项】"&amp;'生成规范'!$B$9&amp;"；"&amp;INDEX('素材需求'!$N$8:$N$119,MATCH(B272,'素材需求'!$A$8:$A$119,0))</x:f>
        <x:v>【交付文件】nm_v2_abn_maodie_combat_reference_windup.png
【本张任务】攻击前摇参考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【单张范围】只画本张：一只完整失效耄耋眉眼紧张，一只正常长度前爪收至胸侧蓄势，身体略蹲，足底不离锚点；单一交付对象/姿势，不含其他零件、对照姿势、sheet、文字、背景或地面投影。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像评论区争吵突然爆发的情绪表情包：眉眼和张嘴形状夸张，局部脏粉/异常红提升；感叹号、争吵气泡、负面评论由外部污染层呈现，不绘成角色新增武器。 失效追击与RED近身爪击使用原引擎前摇和射程；情绪化是表情与局部污染表现，不添加情绪资源、攻击模式或额外命中。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【参考对象】暖灰短毛猫的三角耳、圆角方脸与翘尾；结合情绪表情包里不耐烦、震惊、气鼓鼓的眉眼，使用简洁扁平色块和脏粉耳内色。 参考短步可读的重心交替与前摇—发声/挥击—回收；沿用NMV2_ABN_N02_04，不混入其他角色或技能特效。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72" s="37" t="str">
        <x:v>只画本张：一只完整失效耄耋眉眼紧张，一只正常长度前爪收至胸侧蓄势，身体略蹲，足底不离锚点；单一交付对象/姿势，不含其他零件、对照姿势、sheet、文字、背景或地面投影。</x:v>
      </x:c>
      <x:c r="F272" s="37" t="str">
        <x:f>INDEX('素材需求'!$G$8:$G$119,MATCH(B272,'素材需求'!$A$8:$A$119,0))</x:f>
        <x:v>暖灰短毛猫的三角耳、圆角方脸与翘尾；结合情绪表情包里不耐烦、震惊、气鼓鼓的眉眼，使用简洁扁平色块和脏粉耳内色。 参考短步可读的重心交替与前摇—发声/挥击—回收；沿用NMV2_ABN_N02_04，不混入其他角色或技能特效。</x:v>
      </x:c>
      <x:c r="G272" s="37" t="str">
        <x:f>INDEX('素材需求'!$B$8:$B$119,MATCH(B272,'素材需求'!$A$8:$A$119,0))</x:f>
        <x:v>P1局部污染</x:v>
      </x:c>
      <x:c r="H272" s="37" t="str">
        <x:v>定稿／动作参考</x:v>
      </x:c>
      <x:c r="I27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72" s="37" t="str">
        <x:v>art_delivery/nm_v2/references/</x:v>
      </x:c>
      <x:c r="K272" s="45" t="str">
        <x:v>待生成</x:v>
      </x:c>
      <x:c r="L272" s="37" t="str">
        <x:v>windup</x:v>
      </x:c>
    </x:row>
    <x:row r="273" ht="342.75" customHeight="1">
      <x:c r="A273" s="38" t="str">
        <x:f>INDEX('素材需求'!$D$8:$D$119,MATCH(B273,'素材需求'!$A$8:$A$119,0))&amp;IF(L273="","","_"&amp;L273)&amp;".png"</x:f>
        <x:v>nm_v2_abn_maodie_combat_reference_attack_peak.png</x:v>
      </x:c>
      <x:c r="B273" s="38" t="str">
        <x:v>NMV2_ABN_N02_06</x:v>
      </x:c>
      <x:c r="C273" s="38" t="str">
        <x:v>攻击命中姿势参考</x:v>
      </x:c>
      <x:c r="D273" s="38" t="str">
        <x:f>"【交付文件】"&amp;A273&amp;CHAR(10)&amp;"【本张任务】"&amp;C273&amp;CHAR(10)&amp;'生成规范'!$B$8&amp;CHAR(10)&amp;"【单张范围】"&amp;E273&amp;CHAR(10)&amp;"【本组造型约束】"&amp;INDEX('素材需求'!$F$8:$F$119,MATCH(B273,'素材需求'!$A$8:$A$119,0))&amp;CHAR(10)&amp;"【参考对象】"&amp;F273&amp;CHAR(10)&amp;"【制作规格】"&amp;I273&amp;"；"&amp;INDEX('素材需求'!$M$8:$M$119,MATCH(B273,'素材需求'!$A$8:$A$119,0))&amp;CHAR(10)&amp;"【颜色】"&amp;'生成规范'!$B$10&amp;"；"&amp;'生成规范'!$B$11&amp;CHAR(10)&amp;"【输出规则】"&amp;'生成规范'!$B$12&amp;" 后处理对齐尺寸与轴点；交付用途："&amp;H273&amp;CHAR(10)&amp;"【禁止项】"&amp;'生成规范'!$B$9&amp;"；"&amp;INDEX('素材需求'!$N$8:$N$119,MATCH(B273,'素材需求'!$A$8:$A$119,0))</x:f>
        <x:v>【交付文件】nm_v2_abn_maodie_combat_reference_attack_peak.png
【本张任务】攻击命中姿势参考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【单张范围】只画本张：一只完整失效耄耋向右伸出正常长度前爪完成一次短爪击，表情像正在激烈发言，无爪光或独立文字；单一交付对象/姿势，不含其他零件、对照姿势、sheet、文字、背景或地面投影。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像评论区争吵突然爆发的情绪表情包：眉眼和张嘴形状夸张，局部脏粉/异常红提升；感叹号、争吵气泡、负面评论由外部污染层呈现，不绘成角色新增武器。 失效追击与RED近身爪击使用原引擎前摇和射程；情绪化是表情与局部污染表现，不添加情绪资源、攻击模式或额外命中。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【参考对象】暖灰短毛猫的三角耳、圆角方脸与翘尾；结合情绪表情包里不耐烦、震惊、气鼓鼓的眉眼，使用简洁扁平色块和脏粉耳内色。 参考短步可读的重心交替与前摇—发声/挥击—回收；沿用NMV2_ABN_N02_04，不混入其他角色或技能特效。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73" s="38" t="str">
        <x:v>只画本张：一只完整失效耄耋向右伸出正常长度前爪完成一次短爪击，表情像正在激烈发言，无爪光或独立文字；单一交付对象/姿势，不含其他零件、对照姿势、sheet、文字、背景或地面投影。</x:v>
      </x:c>
      <x:c r="F273" s="38" t="str">
        <x:f>INDEX('素材需求'!$G$8:$G$119,MATCH(B273,'素材需求'!$A$8:$A$119,0))</x:f>
        <x:v>暖灰短毛猫的三角耳、圆角方脸与翘尾；结合情绪表情包里不耐烦、震惊、气鼓鼓的眉眼，使用简洁扁平色块和脏粉耳内色。 参考短步可读的重心交替与前摇—发声/挥击—回收；沿用NMV2_ABN_N02_04，不混入其他角色或技能特效。</x:v>
      </x:c>
      <x:c r="G273" s="38" t="str">
        <x:f>INDEX('素材需求'!$B$8:$B$119,MATCH(B273,'素材需求'!$A$8:$A$119,0))</x:f>
        <x:v>P1局部污染</x:v>
      </x:c>
      <x:c r="H273" s="38" t="str">
        <x:v>定稿／动作参考</x:v>
      </x:c>
      <x:c r="I27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73" s="38" t="str">
        <x:v>art_delivery/nm_v2/references/</x:v>
      </x:c>
      <x:c r="K273" s="45" t="str">
        <x:v>待生成</x:v>
      </x:c>
      <x:c r="L273" s="38" t="str">
        <x:v>attack_peak</x:v>
      </x:c>
    </x:row>
    <x:row r="274" ht="342.75" customHeight="1">
      <x:c r="A274" s="37" t="str">
        <x:f>INDEX('素材需求'!$D$8:$D$119,MATCH(B274,'素材需求'!$A$8:$A$119,0))&amp;IF(L274="","","_"&amp;L274)&amp;".png"</x:f>
        <x:v>nm_v2_abn_maodie_combat_reference_hit_recoil.png</x:v>
      </x:c>
      <x:c r="B274" s="37" t="str">
        <x:v>NMV2_ABN_N02_06</x:v>
      </x:c>
      <x:c r="C274" s="37" t="str">
        <x:v>受击反馈参考</x:v>
      </x:c>
      <x:c r="D274" s="37" t="str">
        <x:f>"【交付文件】"&amp;A274&amp;CHAR(10)&amp;"【本张任务】"&amp;C274&amp;CHAR(10)&amp;'生成规范'!$B$8&amp;CHAR(10)&amp;"【单张范围】"&amp;E274&amp;CHAR(10)&amp;"【本组造型约束】"&amp;INDEX('素材需求'!$F$8:$F$119,MATCH(B274,'素材需求'!$A$8:$A$119,0))&amp;CHAR(10)&amp;"【参考对象】"&amp;F274&amp;CHAR(10)&amp;"【制作规格】"&amp;I274&amp;"；"&amp;INDEX('素材需求'!$M$8:$M$119,MATCH(B274,'素材需求'!$A$8:$A$119,0))&amp;CHAR(10)&amp;"【颜色】"&amp;'生成规范'!$B$10&amp;"；"&amp;'生成规范'!$B$11&amp;CHAR(10)&amp;"【输出规则】"&amp;'生成规范'!$B$12&amp;" 后处理对齐尺寸与轴点；交付用途："&amp;H274&amp;CHAR(10)&amp;"【禁止项】"&amp;'生成规范'!$B$9&amp;"；"&amp;INDEX('素材需求'!$N$8:$N$119,MATCH(B274,'素材需求'!$A$8:$A$119,0))</x:f>
        <x:v>【交付文件】nm_v2_abn_maodie_combat_reference_hit_recoil.png
【本张任务】受击反馈参考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【单张范围】只画本张：一只完整失效耄耋受到一次现有攻击后的短促收缩/偏头姿势，足底不传送，无伤口、血液或死亡形态；单一交付对象/姿势，不含其他零件、对照姿势、sheet、文字、背景或地面投影。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像评论区争吵突然爆发的情绪表情包：眉眼和张嘴形状夸张，局部脏粉/异常红提升；感叹号、争吵气泡、负面评论由外部污染层呈现，不绘成角色新增武器。 失效追击与RED近身爪击使用原引擎前摇和射程；情绪化是表情与局部污染表现，不添加情绪资源、攻击模式或额外命中。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【参考对象】暖灰短毛猫的三角耳、圆角方脸与翘尾；结合情绪表情包里不耐烦、震惊、气鼓鼓的眉眼，使用简洁扁平色块和脏粉耳内色。 参考短步可读的重心交替与前摇—发声/挥击—回收；沿用NMV2_ABN_N02_04，不混入其他角色或技能特效。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数量；允许技术裁边，但必须同步挂点，原图保留。；根在两只后足地面中点；1024×1024装配母版(512,896)，朝右；颈、肩、后腿根、尾根和脸层分别记录pivot。污染只换脸层，肢体长度和足底不变。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74" s="37" t="str">
        <x:v>只画本张：一只完整失效耄耋受到一次现有攻击后的短促收缩/偏头姿势，足底不传送，无伤口、血液或死亡形态；单一交付对象/姿势，不含其他零件、对照姿势、sheet、文字、背景或地面投影。</x:v>
      </x:c>
      <x:c r="F274" s="37" t="str">
        <x:f>INDEX('素材需求'!$G$8:$G$119,MATCH(B274,'素材需求'!$A$8:$A$119,0))</x:f>
        <x:v>暖灰短毛猫的三角耳、圆角方脸与翘尾；结合情绪表情包里不耐烦、震惊、气鼓鼓的眉眼，使用简洁扁平色块和脏粉耳内色。 参考短步可读的重心交替与前摇—发声/挥击—回收；沿用NMV2_ABN_N02_04，不混入其他角色或技能特效。</x:v>
      </x:c>
      <x:c r="G274" s="37" t="str">
        <x:f>INDEX('素材需求'!$B$8:$B$119,MATCH(B274,'素材需求'!$A$8:$A$119,0))</x:f>
        <x:v>P1局部污染</x:v>
      </x:c>
      <x:c r="H274" s="37" t="str">
        <x:v>定稿／动作参考</x:v>
      </x:c>
      <x:c r="I27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74" s="37" t="str">
        <x:v>art_delivery/nm_v2/references/</x:v>
      </x:c>
      <x:c r="K274" s="45" t="str">
        <x:v>待生成</x:v>
      </x:c>
      <x:c r="L274" s="37" t="str">
        <x:v>hit_recoil</x:v>
      </x:c>
    </x:row>
    <x:row r="275" ht="342.75" customHeight="1">
      <x:c r="A275" s="38" t="str">
        <x:f>INDEX('素材需求'!$D$8:$D$119,MATCH(B275,'素材需求'!$A$8:$A$119,0))&amp;IF(L275="","","_"&amp;L275)&amp;".png"</x:f>
        <x:v>nm_v2_abn_big_dog_pollution_identity_approved.png</x:v>
      </x:c>
      <x:c r="B275" s="38" t="str">
        <x:v>NMV2_ABN_N03_04</x:v>
      </x:c>
      <x:c r="C275" s="38" t="str">
        <x:v>污染状态完整形象</x:v>
      </x:c>
      <x:c r="D275" s="38" t="str">
        <x:f>"【交付文件】"&amp;A275&amp;CHAR(10)&amp;"【本张任务】"&amp;C275&amp;CHAR(10)&amp;'生成规范'!$B$8&amp;CHAR(10)&amp;"【单张范围】"&amp;E275&amp;CHAR(10)&amp;"【本组造型约束】"&amp;INDEX('素材需求'!$F$8:$F$119,MATCH(B275,'素材需求'!$A$8:$A$119,0))&amp;CHAR(10)&amp;"【参考对象】"&amp;F275&amp;CHAR(10)&amp;"【制作规格】"&amp;I275&amp;"；"&amp;INDEX('素材需求'!$M$8:$M$119,MATCH(B275,'素材需求'!$A$8:$A$119,0))&amp;CHAR(10)&amp;"【颜色】"&amp;'生成规范'!$B$10&amp;"；"&amp;'生成规范'!$B$11&amp;CHAR(10)&amp;"【输出规则】"&amp;'生成规范'!$B$12&amp;" 后处理对齐尺寸与轴点；交付用途："&amp;H275&amp;CHAR(10)&amp;"【禁止项】"&amp;'生成规范'!$B$9&amp;"；"&amp;INDEX('素材需求'!$N$8:$N$119,MATCH(B275,'素材需求'!$A$8:$A$119,0))</x:f>
        <x:v>【交付文件】nm_v2_abn_big_dog_pollution_identity_approved.png
【本张任务】污染状态完整形象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大狗；保持其常态物种、肢体和体型，通过直播打call般兴奋目光与正常张嘴表现平台污染，不附带评论框或额外特效对象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红橙主色、粉白口鼻胸腹的大体量友好犬，宽头、圆钝口鼻、正常眼睛、舒适垂耳、正常四足和尾巴；嘴部可动但不能扩成恐怖巨口，外部真透明不保留棕色晕影。 爆款直播间的围观与打call：兴奋目光、张口号召、红橙和粉红强调；爱心、点赞、直播角标、应援浪潮属于独立污染覆盖层，角色本体仍是热情大狗。 定稿聚焦一个角色的状态，不画整间房、其他实体或平台界面大拼贴。普通体型和脚底不变。
【参考对象】友好大型垂耳犬、红橙配粉白的现代吉祥物造型；宽圆口鼻和摇尾轮廓，参考直播应援的高兴表情，不参考张裂巨口或阴森犬兽。 以NMV2_ABN_N03_01为同一个体；平台母题为：爆款直播间的围观与打call：兴奋目光、张口号召、红橙和粉红强调；爱心、点赞、直播角标、应援浪潮属于独立污染覆盖层，角色本体仍是热情大狗。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75" s="38" t="str">
        <x:v>只画本张：一只完整失效大狗；保持其常态物种、肢体和体型，通过直播打call般兴奋目光与正常张嘴表现平台污染，不附带评论框或额外特效对象；单一交付对象/姿势，不含其他零件、对照姿势、sheet、文字、背景或地面投影。</x:v>
      </x:c>
      <x:c r="F275" s="38" t="str">
        <x:f>INDEX('素材需求'!$G$8:$G$119,MATCH(B275,'素材需求'!$A$8:$A$119,0))</x:f>
        <x:v>友好大型垂耳犬、红橙配粉白的现代吉祥物造型；宽圆口鼻和摇尾轮廓，参考直播应援的高兴表情，不参考张裂巨口或阴森犬兽。 以NMV2_ABN_N03_01为同一个体；平台母题为：爆款直播间的围观与打call：兴奋目光、张口号召、红橙和粉红强调；爱心、点赞、直播角标、应援浪潮属于独立污染覆盖层，角色本体仍是热情大狗。</x:v>
      </x:c>
      <x:c r="G275" s="38" t="str">
        <x:f>INDEX('素材需求'!$B$8:$B$119,MATCH(B275,'素材需求'!$A$8:$A$119,0))</x:f>
        <x:v>P1局部污染</x:v>
      </x:c>
      <x:c r="H275" s="38" t="str">
        <x:v>定稿／动作参考</x:v>
      </x:c>
      <x:c r="I275" s="38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75" s="38" t="str">
        <x:v>art_delivery/nm_v2/references/</x:v>
      </x:c>
      <x:c r="K275" s="45" t="str">
        <x:v>待生成</x:v>
      </x:c>
      <x:c r="L275" s="38" t="str">
        <x:v>approved</x:v>
      </x:c>
    </x:row>
    <x:row r="276" ht="328.5" customHeight="1">
      <x:c r="A276" s="37" t="str">
        <x:f>INDEX('素材需求'!$D$8:$D$119,MATCH(B276,'素材需求'!$A$8:$A$119,0))&amp;IF(L276="","","_"&amp;L276)&amp;".png"</x:f>
        <x:v>nm_v2_abn_big_dog_pollution_parts_hype_eyes.png</x:v>
      </x:c>
      <x:c r="B276" s="37" t="str">
        <x:v>NMV2_ABN_N03_05</x:v>
      </x:c>
      <x:c r="C276" s="37" t="str">
        <x:v>直播兴奋眼层</x:v>
      </x:c>
      <x:c r="D276" s="37" t="str">
        <x:f>"【交付文件】"&amp;A276&amp;CHAR(10)&amp;"【本张任务】"&amp;C276&amp;CHAR(10)&amp;'生成规范'!$B$8&amp;CHAR(10)&amp;"【单张范围】"&amp;E276&amp;CHAR(10)&amp;"【本组造型约束】"&amp;INDEX('素材需求'!$F$8:$F$119,MATCH(B276,'素材需求'!$A$8:$A$119,0))&amp;CHAR(10)&amp;"【参考对象】"&amp;F276&amp;CHAR(10)&amp;"【制作规格】"&amp;I276&amp;"；"&amp;INDEX('素材需求'!$M$8:$M$119,MATCH(B276,'素材需求'!$A$8:$A$119,0))&amp;CHAR(10)&amp;"【颜色】"&amp;'生成规范'!$B$10&amp;"；"&amp;'生成规范'!$B$11&amp;CHAR(10)&amp;"【输出规则】"&amp;'生成规范'!$B$12&amp;" 后处理对齐尺寸与轴点；交付用途："&amp;H276&amp;CHAR(10)&amp;"【禁止项】"&amp;'生成规范'!$B$9&amp;"；"&amp;INDEX('素材需求'!$N$8:$N$119,MATCH(B276,'素材需求'!$A$8:$A$119,0))</x:f>
        <x:v>【交付文件】nm_v2_abn_big_dog_pollution_parts_hype_eyes.png
【本张任务】直播兴奋眼层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大狗一对兴奋有神的眼睛，允许小块应援亮点但保持眼球结构，透明底，无黑洞眼、完整头、爱心喷泉或外晕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爆款直播间的围观与打call：兴奋目光、张口号召、红橙和粉红强调；爱心、点赞、直播角标、应援浪潮属于独立污染覆盖层，角色本体仍是热情大狗。 只增加必要的面部/胸牌局部层，不能生成另一具身体；显示本层时隐藏对应普通层，避免双眼双嘴叠印。
【参考对象】友好大型垂耳犬、红橙配粉白的现代吉祥物造型；宽圆口鼻和摇尾轮廓，参考直播应援的高兴表情，不参考张裂巨口或阴森犬兽。 参考NMV2_ABN_N03_04批准的单角色污染表情/胸牌，严格沿用同一面部挂点。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76" s="37" t="str">
        <x:v>只画本张：大狗一对兴奋有神的眼睛，允许小块应援亮点但保持眼球结构，透明底，无黑洞眼、完整头、爱心喷泉或外晕；单一交付对象/姿势，不含其他零件、对照姿势、sheet、文字、背景或地面投影。</x:v>
      </x:c>
      <x:c r="F276" s="37" t="str">
        <x:f>INDEX('素材需求'!$G$8:$G$119,MATCH(B276,'素材需求'!$A$8:$A$119,0))</x:f>
        <x:v>友好大型垂耳犬、红橙配粉白的现代吉祥物造型；宽圆口鼻和摇尾轮廓，参考直播应援的高兴表情，不参考张裂巨口或阴森犬兽。 参考NMV2_ABN_N03_04批准的单角色污染表情/胸牌，严格沿用同一面部挂点。</x:v>
      </x:c>
      <x:c r="G276" s="37" t="str">
        <x:f>INDEX('素材需求'!$B$8:$B$119,MATCH(B276,'素材需求'!$A$8:$A$119,0))</x:f>
        <x:v>P1局部污染</x:v>
      </x:c>
      <x:c r="H276" s="37" t="str">
        <x:v>游戏拆件／贴图</x:v>
      </x:c>
      <x:c r="I276" s="37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76" s="37" t="str">
        <x:v>art_delivery/nm_v2/abnormalities/</x:v>
      </x:c>
      <x:c r="K276" s="45" t="str">
        <x:v>待生成</x:v>
      </x:c>
      <x:c r="L276" s="37" t="str">
        <x:v>hype_eyes</x:v>
      </x:c>
    </x:row>
    <x:row r="277" ht="342.75" customHeight="1">
      <x:c r="A277" s="38" t="str">
        <x:f>INDEX('素材需求'!$D$8:$D$119,MATCH(B277,'素材需求'!$A$8:$A$119,0))&amp;IF(L277="","","_"&amp;L277)&amp;".png"</x:f>
        <x:v>nm_v2_abn_big_dog_combat_reference_walk_left_support.png</x:v>
      </x:c>
      <x:c r="B277" s="38" t="str">
        <x:v>NMV2_ABN_N03_06</x:v>
      </x:c>
      <x:c r="C277" s="38" t="str">
        <x:v>巡游步态左足支撑</x:v>
      </x:c>
      <x:c r="D277" s="38" t="str">
        <x:f>"【交付文件】"&amp;A277&amp;CHAR(10)&amp;"【本张任务】"&amp;C277&amp;CHAR(10)&amp;'生成规范'!$B$8&amp;CHAR(10)&amp;"【单张范围】"&amp;E277&amp;CHAR(10)&amp;"【本组造型约束】"&amp;INDEX('素材需求'!$F$8:$F$119,MATCH(B277,'素材需求'!$A$8:$A$119,0))&amp;CHAR(10)&amp;"【参考对象】"&amp;F277&amp;CHAR(10)&amp;"【制作规格】"&amp;I277&amp;"；"&amp;INDEX('素材需求'!$M$8:$M$119,MATCH(B277,'素材需求'!$A$8:$A$119,0))&amp;CHAR(10)&amp;"【颜色】"&amp;'生成规范'!$B$10&amp;"；"&amp;'生成规范'!$B$11&amp;CHAR(10)&amp;"【输出规则】"&amp;'生成规范'!$B$12&amp;" 后处理对齐尺寸与轴点；交付用途："&amp;H277&amp;CHAR(10)&amp;"【禁止项】"&amp;'生成规范'!$B$9&amp;"；"&amp;INDEX('素材需求'!$N$8:$N$119,MATCH(B277,'素材需求'!$A$8:$A$119,0))</x:f>
        <x:v>【交付文件】nm_v2_abn_big_dog_combat_reference_walk_left_support.png
【本张任务】巡游步态左足支撑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大狗朝右行走关键姿势，左侧足支撑、另一足自然前移，正常肢体长度，足底与地面基准一致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爆款直播间的围观与打call：兴奋目光、张口号召、红橙和粉红强调；爱心、点赞、直播角标、应援浪潮属于独立污染覆盖层，角色本体仍是热情大狗。 既有APPROACH_AND_AOE与RED嚎叫、击退仅由现有攻击事件结算；演出用正常嘴铰和真实前摇，声浪/打call素材另组，不从外观添加伤害范围或连发。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【参考对象】友好大型垂耳犬、红橙配粉白的现代吉祥物造型；宽圆口鼻和摇尾轮廓，参考直播应援的高兴表情，不参考张裂巨口或阴森犬兽。 参考短步可读的重心交替与前摇—发声/挥击—回收；沿用NMV2_ABN_N03_04，不混入其他角色或技能特效。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77" s="38" t="str">
        <x:v>只画本张：一只完整失效大狗朝右行走关键姿势，左侧足支撑、另一足自然前移，正常肢体长度，足底与地面基准一致；单一交付对象/姿势，不含其他零件、对照姿势、sheet、文字、背景或地面投影。</x:v>
      </x:c>
      <x:c r="F277" s="38" t="str">
        <x:f>INDEX('素材需求'!$G$8:$G$119,MATCH(B277,'素材需求'!$A$8:$A$119,0))</x:f>
        <x:v>友好大型垂耳犬、红橙配粉白的现代吉祥物造型；宽圆口鼻和摇尾轮廓，参考直播应援的高兴表情，不参考张裂巨口或阴森犬兽。 参考短步可读的重心交替与前摇—发声/挥击—回收；沿用NMV2_ABN_N03_04，不混入其他角色或技能特效。</x:v>
      </x:c>
      <x:c r="G277" s="38" t="str">
        <x:f>INDEX('素材需求'!$B$8:$B$119,MATCH(B277,'素材需求'!$A$8:$A$119,0))</x:f>
        <x:v>P1局部污染</x:v>
      </x:c>
      <x:c r="H277" s="38" t="str">
        <x:v>定稿／动作参考</x:v>
      </x:c>
      <x:c r="I277" s="38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77" s="38" t="str">
        <x:v>art_delivery/nm_v2/references/</x:v>
      </x:c>
      <x:c r="K277" s="45" t="str">
        <x:v>待生成</x:v>
      </x:c>
      <x:c r="L277" s="38" t="str">
        <x:v>walk_left_support</x:v>
      </x:c>
    </x:row>
    <x:row r="278" ht="342.75" customHeight="1">
      <x:c r="A278" s="37" t="str">
        <x:f>INDEX('素材需求'!$D$8:$D$119,MATCH(B278,'素材需求'!$A$8:$A$119,0))&amp;IF(L278="","","_"&amp;L278)&amp;".png"</x:f>
        <x:v>nm_v2_abn_big_dog_combat_reference_walk_right_support.png</x:v>
      </x:c>
      <x:c r="B278" s="37" t="str">
        <x:v>NMV2_ABN_N03_06</x:v>
      </x:c>
      <x:c r="C278" s="37" t="str">
        <x:v>巡游步态右足支撑</x:v>
      </x:c>
      <x:c r="D278" s="37" t="str">
        <x:f>"【交付文件】"&amp;A278&amp;CHAR(10)&amp;"【本张任务】"&amp;C278&amp;CHAR(10)&amp;'生成规范'!$B$8&amp;CHAR(10)&amp;"【单张范围】"&amp;E278&amp;CHAR(10)&amp;"【本组造型约束】"&amp;INDEX('素材需求'!$F$8:$F$119,MATCH(B278,'素材需求'!$A$8:$A$119,0))&amp;CHAR(10)&amp;"【参考对象】"&amp;F278&amp;CHAR(10)&amp;"【制作规格】"&amp;I278&amp;"；"&amp;INDEX('素材需求'!$M$8:$M$119,MATCH(B278,'素材需求'!$A$8:$A$119,0))&amp;CHAR(10)&amp;"【颜色】"&amp;'生成规范'!$B$10&amp;"；"&amp;'生成规范'!$B$11&amp;CHAR(10)&amp;"【输出规则】"&amp;'生成规范'!$B$12&amp;" 后处理对齐尺寸与轴点；交付用途："&amp;H278&amp;CHAR(10)&amp;"【禁止项】"&amp;'生成规范'!$B$9&amp;"；"&amp;INDEX('素材需求'!$N$8:$N$119,MATCH(B278,'素材需求'!$A$8:$A$119,0))</x:f>
        <x:v>【交付文件】nm_v2_abn_big_dog_combat_reference_walk_right_support.png
【本张任务】巡游步态右足支撑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【单张范围】只画本张：一只完整失效大狗朝右行走另一关键姿势，右侧足支撑、另一足自然前移，正常肢体长度，不画运动残影；单一交付对象/姿势，不含其他零件、对照姿势、sheet、文字、背景或地面投影。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爆款直播间的围观与打call：兴奋目光、张口号召、红橙和粉红强调；爱心、点赞、直播角标、应援浪潮属于独立污染覆盖层，角色本体仍是热情大狗。 既有APPROACH_AND_AOE与RED嚎叫、击退仅由现有攻击事件结算；演出用正常嘴铰和真实前摇，声浪/打call素材另组，不从外观添加伤害范围或连发。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【参考对象】友好大型垂耳犬、红橙配粉白的现代吉祥物造型；宽圆口鼻和摇尾轮廓，参考直播应援的高兴表情，不参考张裂巨口或阴森犬兽。 参考短步可读的重心交替与前摇—发声/挥击—回收；沿用NMV2_ABN_N03_04，不混入其他角色或技能特效。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78" s="37" t="str">
        <x:v>只画本张：一只完整失效大狗朝右行走另一关键姿势，右侧足支撑、另一足自然前移，正常肢体长度，不画运动残影；单一交付对象/姿势，不含其他零件、对照姿势、sheet、文字、背景或地面投影。</x:v>
      </x:c>
      <x:c r="F278" s="37" t="str">
        <x:f>INDEX('素材需求'!$G$8:$G$119,MATCH(B278,'素材需求'!$A$8:$A$119,0))</x:f>
        <x:v>友好大型垂耳犬、红橙配粉白的现代吉祥物造型；宽圆口鼻和摇尾轮廓，参考直播应援的高兴表情，不参考张裂巨口或阴森犬兽。 参考短步可读的重心交替与前摇—发声/挥击—回收；沿用NMV2_ABN_N03_04，不混入其他角色或技能特效。</x:v>
      </x:c>
      <x:c r="G278" s="37" t="str">
        <x:f>INDEX('素材需求'!$B$8:$B$119,MATCH(B278,'素材需求'!$A$8:$A$119,0))</x:f>
        <x:v>P1局部污染</x:v>
      </x:c>
      <x:c r="H278" s="37" t="str">
        <x:v>定稿／动作参考</x:v>
      </x:c>
      <x:c r="I278" s="37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78" s="37" t="str">
        <x:v>art_delivery/nm_v2/references/</x:v>
      </x:c>
      <x:c r="K278" s="45" t="str">
        <x:v>待生成</x:v>
      </x:c>
      <x:c r="L278" s="37" t="str">
        <x:v>walk_right_support</x:v>
      </x:c>
    </x:row>
    <x:row r="279" ht="342.75" customHeight="1">
      <x:c r="A279" s="38" t="str">
        <x:f>INDEX('素材需求'!$D$8:$D$119,MATCH(B279,'素材需求'!$A$8:$A$119,0))&amp;IF(L279="","","_"&amp;L279)&amp;".png"</x:f>
        <x:v>nm_v2_abn_big_dog_combat_reference_windup.png</x:v>
      </x:c>
      <x:c r="B279" s="38" t="str">
        <x:v>NMV2_ABN_N03_06</x:v>
      </x:c>
      <x:c r="C279" s="38" t="str">
        <x:v>攻击前摇参考</x:v>
      </x:c>
      <x:c r="D279" s="38" t="str">
        <x:f>"【交付文件】"&amp;A279&amp;CHAR(10)&amp;"【本张任务】"&amp;C279&amp;CHAR(10)&amp;'生成规范'!$B$8&amp;CHAR(10)&amp;"【单张范围】"&amp;E279&amp;CHAR(10)&amp;"【本组造型约束】"&amp;INDEX('素材需求'!$F$8:$F$119,MATCH(B279,'素材需求'!$A$8:$A$119,0))&amp;CHAR(10)&amp;"【参考对象】"&amp;F279&amp;CHAR(10)&amp;"【制作规格】"&amp;I279&amp;"；"&amp;INDEX('素材需求'!$M$8:$M$119,MATCH(B279,'素材需求'!$A$8:$A$119,0))&amp;CHAR(10)&amp;"【颜色】"&amp;'生成规范'!$B$10&amp;"；"&amp;'生成规范'!$B$11&amp;CHAR(10)&amp;"【输出规则】"&amp;'生成规范'!$B$12&amp;" 后处理对齐尺寸与轴点；交付用途："&amp;H279&amp;CHAR(10)&amp;"【禁止项】"&amp;'生成规范'!$B$9&amp;"；"&amp;INDEX('素材需求'!$N$8:$N$119,MATCH(B279,'素材需求'!$A$8:$A$119,0))</x:f>
        <x:v>【交付文件】nm_v2_abn_big_dog_combat_reference_windup.png
【本张任务】攻击前摇参考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【单张范围】只画本张：一只完整失效大狗抬起头、胸部吸气、正常下颌开始打开，准备一次打call式嚎叫，四足仍稳定；单一交付对象/姿势，不含其他零件、对照姿势、sheet、文字、背景或地面投影。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爆款直播间的围观与打call：兴奋目光、张口号召、红橙和粉红强调；爱心、点赞、直播角标、应援浪潮属于独立污染覆盖层，角色本体仍是热情大狗。 既有APPROACH_AND_AOE与RED嚎叫、击退仅由现有攻击事件结算；演出用正常嘴铰和真实前摇，声浪/打call素材另组，不从外观添加伤害范围或连发。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【参考对象】友好大型垂耳犬、红橙配粉白的现代吉祥物造型；宽圆口鼻和摇尾轮廓，参考直播应援的高兴表情，不参考张裂巨口或阴森犬兽。 参考短步可读的重心交替与前摇—发声/挥击—回收；沿用NMV2_ABN_N03_04，不混入其他角色或技能特效。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79" s="38" t="str">
        <x:v>只画本张：一只完整失效大狗抬起头、胸部吸气、正常下颌开始打开，准备一次打call式嚎叫，四足仍稳定；单一交付对象/姿势，不含其他零件、对照姿势、sheet、文字、背景或地面投影。</x:v>
      </x:c>
      <x:c r="F279" s="38" t="str">
        <x:f>INDEX('素材需求'!$G$8:$G$119,MATCH(B279,'素材需求'!$A$8:$A$119,0))</x:f>
        <x:v>友好大型垂耳犬、红橙配粉白的现代吉祥物造型；宽圆口鼻和摇尾轮廓，参考直播应援的高兴表情，不参考张裂巨口或阴森犬兽。 参考短步可读的重心交替与前摇—发声/挥击—回收；沿用NMV2_ABN_N03_04，不混入其他角色或技能特效。</x:v>
      </x:c>
      <x:c r="G279" s="38" t="str">
        <x:f>INDEX('素材需求'!$B$8:$B$119,MATCH(B279,'素材需求'!$A$8:$A$119,0))</x:f>
        <x:v>P1局部污染</x:v>
      </x:c>
      <x:c r="H279" s="38" t="str">
        <x:v>定稿／动作参考</x:v>
      </x:c>
      <x:c r="I279" s="38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79" s="38" t="str">
        <x:v>art_delivery/nm_v2/references/</x:v>
      </x:c>
      <x:c r="K279" s="45" t="str">
        <x:v>待生成</x:v>
      </x:c>
      <x:c r="L279" s="38" t="str">
        <x:v>windup</x:v>
      </x:c>
    </x:row>
    <x:row r="280" ht="342.75" customHeight="1">
      <x:c r="A280" s="37" t="str">
        <x:f>INDEX('素材需求'!$D$8:$D$119,MATCH(B280,'素材需求'!$A$8:$A$119,0))&amp;IF(L280="","","_"&amp;L280)&amp;".png"</x:f>
        <x:v>nm_v2_abn_big_dog_combat_reference_attack_peak.png</x:v>
      </x:c>
      <x:c r="B280" s="37" t="str">
        <x:v>NMV2_ABN_N03_06</x:v>
      </x:c>
      <x:c r="C280" s="37" t="str">
        <x:v>攻击命中姿势参考</x:v>
      </x:c>
      <x:c r="D280" s="37" t="str">
        <x:f>"【交付文件】"&amp;A280&amp;CHAR(10)&amp;"【本张任务】"&amp;C280&amp;CHAR(10)&amp;'生成规范'!$B$8&amp;CHAR(10)&amp;"【单张范围】"&amp;E280&amp;CHAR(10)&amp;"【本组造型约束】"&amp;INDEX('素材需求'!$F$8:$F$119,MATCH(B280,'素材需求'!$A$8:$A$119,0))&amp;CHAR(10)&amp;"【参考对象】"&amp;F280&amp;CHAR(10)&amp;"【制作规格】"&amp;I280&amp;"；"&amp;INDEX('素材需求'!$M$8:$M$119,MATCH(B280,'素材需求'!$A$8:$A$119,0))&amp;CHAR(10)&amp;"【颜色】"&amp;'生成规范'!$B$10&amp;"；"&amp;'生成规范'!$B$11&amp;CHAR(10)&amp;"【输出规则】"&amp;'生成规范'!$B$12&amp;" 后处理对齐尺寸与轴点；交付用途："&amp;H280&amp;CHAR(10)&amp;"【禁止项】"&amp;'生成规范'!$B$9&amp;"；"&amp;INDEX('素材需求'!$N$8:$N$119,MATCH(B280,'素材需求'!$A$8:$A$119,0))</x:f>
        <x:v>【交付文件】nm_v2_abn_big_dog_combat_reference_attack_peak.png
【本张任务】攻击命中姿势参考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【单张范围】只画本张：一只完整失效大狗向右张开正常大小的嘴发声，胸部挺起、表情兴奋，不画扩张巨口、声浪、爱心或观众；单一交付对象/姿势，不含其他零件、对照姿势、sheet、文字、背景或地面投影。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爆款直播间的围观与打call：兴奋目光、张口号召、红橙和粉红强调；爱心、点赞、直播角标、应援浪潮属于独立污染覆盖层，角色本体仍是热情大狗。 既有APPROACH_AND_AOE与RED嚎叫、击退仅由现有攻击事件结算；演出用正常嘴铰和真实前摇，声浪/打call素材另组，不从外观添加伤害范围或连发。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【参考对象】友好大型垂耳犬、红橙配粉白的现代吉祥物造型；宽圆口鼻和摇尾轮廓，参考直播应援的高兴表情，不参考张裂巨口或阴森犬兽。 参考短步可读的重心交替与前摇—发声/挥击—回收；沿用NMV2_ABN_N03_04，不混入其他角色或技能特效。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80" s="37" t="str">
        <x:v>只画本张：一只完整失效大狗向右张开正常大小的嘴发声，胸部挺起、表情兴奋，不画扩张巨口、声浪、爱心或观众；单一交付对象/姿势，不含其他零件、对照姿势、sheet、文字、背景或地面投影。</x:v>
      </x:c>
      <x:c r="F280" s="37" t="str">
        <x:f>INDEX('素材需求'!$G$8:$G$119,MATCH(B280,'素材需求'!$A$8:$A$119,0))</x:f>
        <x:v>友好大型垂耳犬、红橙配粉白的现代吉祥物造型；宽圆口鼻和摇尾轮廓，参考直播应援的高兴表情，不参考张裂巨口或阴森犬兽。 参考短步可读的重心交替与前摇—发声/挥击—回收；沿用NMV2_ABN_N03_04，不混入其他角色或技能特效。</x:v>
      </x:c>
      <x:c r="G280" s="37" t="str">
        <x:f>INDEX('素材需求'!$B$8:$B$119,MATCH(B280,'素材需求'!$A$8:$A$119,0))</x:f>
        <x:v>P1局部污染</x:v>
      </x:c>
      <x:c r="H280" s="37" t="str">
        <x:v>定稿／动作参考</x:v>
      </x:c>
      <x:c r="I280" s="37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80" s="37" t="str">
        <x:v>art_delivery/nm_v2/references/</x:v>
      </x:c>
      <x:c r="K280" s="45" t="str">
        <x:v>待生成</x:v>
      </x:c>
      <x:c r="L280" s="37" t="str">
        <x:v>attack_peak</x:v>
      </x:c>
    </x:row>
    <x:row r="281" ht="342.75" customHeight="1">
      <x:c r="A281" s="38" t="str">
        <x:f>INDEX('素材需求'!$D$8:$D$119,MATCH(B281,'素材需求'!$A$8:$A$119,0))&amp;IF(L281="","","_"&amp;L281)&amp;".png"</x:f>
        <x:v>nm_v2_abn_big_dog_combat_reference_hit_recoil.png</x:v>
      </x:c>
      <x:c r="B281" s="38" t="str">
        <x:v>NMV2_ABN_N03_06</x:v>
      </x:c>
      <x:c r="C281" s="38" t="str">
        <x:v>受击反馈参考</x:v>
      </x:c>
      <x:c r="D281" s="38" t="str">
        <x:f>"【交付文件】"&amp;A281&amp;CHAR(10)&amp;"【本张任务】"&amp;C281&amp;CHAR(10)&amp;'生成规范'!$B$8&amp;CHAR(10)&amp;"【单张范围】"&amp;E281&amp;CHAR(10)&amp;"【本组造型约束】"&amp;INDEX('素材需求'!$F$8:$F$119,MATCH(B281,'素材需求'!$A$8:$A$119,0))&amp;CHAR(10)&amp;"【参考对象】"&amp;F281&amp;CHAR(10)&amp;"【制作规格】"&amp;I281&amp;"；"&amp;INDEX('素材需求'!$M$8:$M$119,MATCH(B281,'素材需求'!$A$8:$A$119,0))&amp;CHAR(10)&amp;"【颜色】"&amp;'生成规范'!$B$10&amp;"；"&amp;'生成规范'!$B$11&amp;CHAR(10)&amp;"【输出规则】"&amp;'生成规范'!$B$12&amp;" 后处理对齐尺寸与轴点；交付用途："&amp;H281&amp;CHAR(10)&amp;"【禁止项】"&amp;'生成规范'!$B$9&amp;"；"&amp;INDEX('素材需求'!$N$8:$N$119,MATCH(B281,'素材需求'!$A$8:$A$119,0))</x:f>
        <x:v>【交付文件】nm_v2_abn_big_dog_combat_reference_hit_recoil.png
【本张任务】受击反馈参考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【单张范围】只画本张：一只完整失效大狗受到一次现有攻击后的短促收缩/偏头姿势，足底不传送，无伤口、血液或死亡形态；单一交付对象/姿势，不含其他零件、对照姿势、sheet、文字、背景或地面投影。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爆款直播间的围观与打call：兴奋目光、张口号召、红橙和粉红强调；爱心、点赞、直播角标、应援浪潮属于独立污染覆盖层，角色本体仍是热情大狗。 既有APPROACH_AND_AOE与RED嚎叫、击退仅由现有攻击事件结算；演出用正常嘴铰和真实前摇，声浪/打call素材另组，不从外观添加伤害范围或连发。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【参考对象】友好大型垂耳犬、红橙配粉白的现代吉祥物造型；宽圆口鼻和摇尾轮廓，参考直播应援的高兴表情，不参考张裂巨口或阴森犬兽。 参考短步可读的重心交替与前摇—发声/挥击—回收；沿用NMV2_ABN_N03_04，不混入其他角色或技能特效。
【制作规格】1536×1024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四足支撑面地面中心；1536×1024装配母版(768,896)，朝右。记录颈根、上下口鼻铰点、舌根、前/后腿根、尾根和项圈挂点。前腿/后腿各一张源件，可按既有前后层重复实例并遮挡，不能因此增加游戏实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81" s="38" t="str">
        <x:v>只画本张：一只完整失效大狗受到一次现有攻击后的短促收缩/偏头姿势，足底不传送，无伤口、血液或死亡形态；单一交付对象/姿势，不含其他零件、对照姿势、sheet、文字、背景或地面投影。</x:v>
      </x:c>
      <x:c r="F281" s="38" t="str">
        <x:f>INDEX('素材需求'!$G$8:$G$119,MATCH(B281,'素材需求'!$A$8:$A$119,0))</x:f>
        <x:v>友好大型垂耳犬、红橙配粉白的现代吉祥物造型；宽圆口鼻和摇尾轮廓，参考直播应援的高兴表情，不参考张裂巨口或阴森犬兽。 参考短步可读的重心交替与前摇—发声/挥击—回收；沿用NMV2_ABN_N03_04，不混入其他角色或技能特效。</x:v>
      </x:c>
      <x:c r="G281" s="38" t="str">
        <x:f>INDEX('素材需求'!$B$8:$B$119,MATCH(B281,'素材需求'!$A$8:$A$119,0))</x:f>
        <x:v>P1局部污染</x:v>
      </x:c>
      <x:c r="H281" s="38" t="str">
        <x:v>定稿／动作参考</x:v>
      </x:c>
      <x:c r="I281" s="38" t="str">
        <x:v>1536×1024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81" s="38" t="str">
        <x:v>art_delivery/nm_v2/references/</x:v>
      </x:c>
      <x:c r="K281" s="45" t="str">
        <x:v>待生成</x:v>
      </x:c>
      <x:c r="L281" s="38" t="str">
        <x:v>hit_recoil</x:v>
      </x:c>
    </x:row>
    <x:row r="282" ht="342.75" customHeight="1">
      <x:c r="A282" s="37" t="str">
        <x:f>INDEX('素材需求'!$D$8:$D$119,MATCH(B282,'素材需求'!$A$8:$A$119,0))&amp;IF(L282="","","_"&amp;L282)&amp;".png"</x:f>
        <x:v>nm_v2_abn_dingdong_chicken_pollution_identity_approved.png</x:v>
      </x:c>
      <x:c r="B282" s="37" t="str">
        <x:v>NMV2_ABN_N04_04</x:v>
      </x:c>
      <x:c r="C282" s="37" t="str">
        <x:v>污染状态完整形象</x:v>
      </x:c>
      <x:c r="D282" s="37" t="str">
        <x:f>"【交付文件】"&amp;A282&amp;CHAR(10)&amp;"【本张任务】"&amp;C282&amp;CHAR(10)&amp;'生成规范'!$B$8&amp;CHAR(10)&amp;"【单张范围】"&amp;E282&amp;CHAR(10)&amp;"【本组造型约束】"&amp;INDEX('素材需求'!$F$8:$F$119,MATCH(B282,'素材需求'!$A$8:$A$119,0))&amp;CHAR(10)&amp;"【参考对象】"&amp;F282&amp;CHAR(10)&amp;"【制作规格】"&amp;I282&amp;"；"&amp;INDEX('素材需求'!$M$8:$M$119,MATCH(B282,'素材需求'!$A$8:$A$119,0))&amp;CHAR(10)&amp;"【颜色】"&amp;'生成规范'!$B$10&amp;"；"&amp;'生成规范'!$B$11&amp;CHAR(10)&amp;"【输出规则】"&amp;'生成规范'!$B$12&amp;" 后处理对齐尺寸与轴点；交付用途："&amp;H282&amp;CHAR(10)&amp;"【禁止项】"&amp;'生成规范'!$B$9&amp;"；"&amp;INDEX('素材需求'!$N$8:$N$119,MATCH(B282,'素材需求'!$A$8:$A$119,0))</x:f>
        <x:v>【交付文件】nm_v2_abn_dingdong_chicken_pollution_identity_approved.png
【本张任务】污染状态完整形象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叮咚鸡；保持其常态物种、肢体和体型，通过循环播报式开喙与胸牌局部提示红表现平台污染，不附带评论框或额外特效对象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明黄与橙黄的鸡形吉祥物，清楚鸡冠、短喙、翅膀、尾羽和细短鸡腿；胸前一枚现代圆角通知徽章，提示红只占小块，不再用老式黄铜机械钟表。 洗脑循环播报：喙部开合和通知徽章局部红色强调，平台通知框、循环播放标签、波形与进度条由独立覆盖层呈现。胸牌只做通知身份，不绘虚假的倒计时或技能数值。 定稿聚焦一个角色的状态，不画整间房、其他实体或平台界面大拼贴。普通体型和脚底不变。
【参考对象】现代音频应用通知徽章与明黄鸡形吉祥物；清楚鸡冠、短喙、尾羽和圆角胸牌，参考播报员准备说话的头部动作，非机械钟表或黄铜机器人。 以NMV2_ABN_N04_01为同一个体；平台母题为：洗脑循环播报：喙部开合和通知徽章局部红色强调，平台通知框、循环播放标签、波形与进度条由独立覆盖层呈现。胸牌只做通知身份，不绘虚假的倒计时或技能数值。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82" s="37" t="str">
        <x:v>只画本张：一只完整失效叮咚鸡；保持其常态物种、肢体和体型，通过循环播报式开喙与胸牌局部提示红表现平台污染，不附带评论框或额外特效对象；单一交付对象/姿势，不含其他零件、对照姿势、sheet、文字、背景或地面投影。</x:v>
      </x:c>
      <x:c r="F282" s="37" t="str">
        <x:f>INDEX('素材需求'!$G$8:$G$119,MATCH(B282,'素材需求'!$A$8:$A$119,0))</x:f>
        <x:v>现代音频应用通知徽章与明黄鸡形吉祥物；清楚鸡冠、短喙、尾羽和圆角胸牌，参考播报员准备说话的头部动作，非机械钟表或黄铜机器人。 以NMV2_ABN_N04_01为同一个体；平台母题为：洗脑循环播报：喙部开合和通知徽章局部红色强调，平台通知框、循环播放标签、波形与进度条由独立覆盖层呈现。胸牌只做通知身份，不绘虚假的倒计时或技能数值。</x:v>
      </x:c>
      <x:c r="G282" s="37" t="str">
        <x:f>INDEX('素材需求'!$B$8:$B$119,MATCH(B282,'素材需求'!$A$8:$A$119,0))</x:f>
        <x:v>P1局部污染</x:v>
      </x:c>
      <x:c r="H282" s="37" t="str">
        <x:v>定稿／动作参考</x:v>
      </x:c>
      <x:c r="I28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82" s="37" t="str">
        <x:v>art_delivery/nm_v2/references/</x:v>
      </x:c>
      <x:c r="K282" s="45" t="str">
        <x:v>待生成</x:v>
      </x:c>
      <x:c r="L282" s="37" t="str">
        <x:v>approved</x:v>
      </x:c>
    </x:row>
    <x:row r="283" ht="328.5" customHeight="1">
      <x:c r="A283" s="38" t="str">
        <x:f>INDEX('素材需求'!$D$8:$D$119,MATCH(B283,'素材需求'!$A$8:$A$119,0))&amp;IF(L283="","","_"&amp;L283)&amp;".png"</x:f>
        <x:v>nm_v2_abn_dingdong_chicken_pollution_parts_loop_badge_overlay.png</x:v>
      </x:c>
      <x:c r="B283" s="38" t="str">
        <x:v>NMV2_ABN_N04_05</x:v>
      </x:c>
      <x:c r="C283" s="38" t="str">
        <x:v>循环通知胸牌覆盖层</x:v>
      </x:c>
      <x:c r="D283" s="38" t="str">
        <x:f>"【交付文件】"&amp;A283&amp;CHAR(10)&amp;"【本张任务】"&amp;C283&amp;CHAR(10)&amp;'生成规范'!$B$8&amp;CHAR(10)&amp;"【单张范围】"&amp;E283&amp;CHAR(10)&amp;"【本组造型约束】"&amp;INDEX('素材需求'!$F$8:$F$119,MATCH(B283,'素材需求'!$A$8:$A$119,0))&amp;CHAR(10)&amp;"【参考对象】"&amp;F283&amp;CHAR(10)&amp;"【制作规格】"&amp;I283&amp;"；"&amp;INDEX('素材需求'!$M$8:$M$119,MATCH(B283,'素材需求'!$A$8:$A$119,0))&amp;CHAR(10)&amp;"【颜色】"&amp;'生成规范'!$B$10&amp;"；"&amp;'生成规范'!$B$11&amp;CHAR(10)&amp;"【输出规则】"&amp;'生成规范'!$B$12&amp;" 后处理对齐尺寸与轴点；交付用途："&amp;H283&amp;CHAR(10)&amp;"【禁止项】"&amp;'生成规范'!$B$9&amp;"；"&amp;INDEX('素材需求'!$N$8:$N$119,MATCH(B283,'素材需求'!$A$8:$A$119,0))</x:f>
        <x:v>【交付文件】nm_v2_abn_dingdong_chicken_pollution_parts_loop_badge_overlay.png
【本张任务】循环通知胸牌覆盖层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个贴合胸牌边界的局部循环箭头与短波形几何覆盖层，提示红与明黄，透明底，无文字、数字、完整鸡或整屏通知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洗脑循环播报：喙部开合和通知徽章局部红色强调，平台通知框、循环播放标签、波形与进度条由独立覆盖层呈现。胸牌只做通知身份，不绘虚假的倒计时或技能数值。 只增加必要的面部/胸牌局部层，不能生成另一具身体；显示本层时隐藏对应普通层，避免双眼双嘴叠印。
【参考对象】现代音频应用通知徽章与明黄鸡形吉祥物；清楚鸡冠、短喙、尾羽和圆角胸牌，参考播报员准备说话的头部动作，非机械钟表或黄铜机器人。 参考NMV2_ABN_N04_04批准的单角色污染表情/胸牌，严格沿用同一面部挂点。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83" s="38" t="str">
        <x:v>只画本张：一个贴合胸牌边界的局部循环箭头与短波形几何覆盖层，提示红与明黄，透明底，无文字、数字、完整鸡或整屏通知；单一交付对象/姿势，不含其他零件、对照姿势、sheet、文字、背景或地面投影。</x:v>
      </x:c>
      <x:c r="F283" s="38" t="str">
        <x:f>INDEX('素材需求'!$G$8:$G$119,MATCH(B283,'素材需求'!$A$8:$A$119,0))</x:f>
        <x:v>现代音频应用通知徽章与明黄鸡形吉祥物；清楚鸡冠、短喙、尾羽和圆角胸牌，参考播报员准备说话的头部动作，非机械钟表或黄铜机器人。 参考NMV2_ABN_N04_04批准的单角色污染表情/胸牌，严格沿用同一面部挂点。</x:v>
      </x:c>
      <x:c r="G283" s="38" t="str">
        <x:f>INDEX('素材需求'!$B$8:$B$119,MATCH(B283,'素材需求'!$A$8:$A$119,0))</x:f>
        <x:v>P1局部污染</x:v>
      </x:c>
      <x:c r="H283" s="38" t="str">
        <x:v>游戏拆件／贴图</x:v>
      </x:c>
      <x:c r="I28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83" s="38" t="str">
        <x:v>art_delivery/nm_v2/abnormalities/</x:v>
      </x:c>
      <x:c r="K283" s="45" t="str">
        <x:v>待生成</x:v>
      </x:c>
      <x:c r="L283" s="38" t="str">
        <x:v>loop_badge_overlay</x:v>
      </x:c>
    </x:row>
    <x:row r="284" ht="342.75" customHeight="1">
      <x:c r="A284" s="37" t="str">
        <x:f>INDEX('素材需求'!$D$8:$D$119,MATCH(B284,'素材需求'!$A$8:$A$119,0))&amp;IF(L284="","","_"&amp;L284)&amp;".png"</x:f>
        <x:v>nm_v2_abn_dingdong_chicken_combat_reference_windup.png</x:v>
      </x:c>
      <x:c r="B284" s="37" t="str">
        <x:v>NMV2_ABN_N04_06</x:v>
      </x:c>
      <x:c r="C284" s="37" t="str">
        <x:v>攻击前摇参考</x:v>
      </x:c>
      <x:c r="D284" s="37" t="str">
        <x:f>"【交付文件】"&amp;A284&amp;CHAR(10)&amp;"【本张任务】"&amp;C284&amp;CHAR(10)&amp;'生成规范'!$B$8&amp;CHAR(10)&amp;"【单张范围】"&amp;E284&amp;CHAR(10)&amp;"【本组造型约束】"&amp;INDEX('素材需求'!$F$8:$F$119,MATCH(B284,'素材需求'!$A$8:$A$119,0))&amp;CHAR(10)&amp;"【参考对象】"&amp;F284&amp;CHAR(10)&amp;"【制作规格】"&amp;I284&amp;"；"&amp;INDEX('素材需求'!$M$8:$M$119,MATCH(B284,'素材需求'!$A$8:$A$119,0))&amp;CHAR(10)&amp;"【颜色】"&amp;'生成规范'!$B$10&amp;"；"&amp;'生成规范'!$B$11&amp;CHAR(10)&amp;"【输出规则】"&amp;'生成规范'!$B$12&amp;" 后处理对齐尺寸与轴点；交付用途："&amp;H284&amp;CHAR(10)&amp;"【禁止项】"&amp;'生成规范'!$B$9&amp;"；"&amp;INDEX('素材需求'!$N$8:$N$119,MATCH(B284,'素材需求'!$A$8:$A$119,0))</x:f>
        <x:v>【交付文件】nm_v2_abn_dingdong_chicken_combat_reference_windup.png
【本张任务】攻击前摇参考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【单张范围】只画本张：一只完整失效叮咚鸡原地仰头、短喙微开、翅膀收紧准备播报，通知胸牌局部提示红，双脚留在原位；单一交付对象/姿势，不含其他零件、对照姿势、sheet、文字、背景或地面投影。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洗脑循环播报：喙部开合和通知徽章局部红色强调，平台通知框、循环播放标签、波形与进度条由独立覆盖层呈现。胸牌只做通知身份，不绘虚假的倒计时或技能数值。 现有STATIONARY_BROADCAST的BLACK广播与工作打断规则保持；仅从真实播报前摇/命中显示开喙、翅膀和胸牌变化，不给N04新增行走、追击、计时或覆盖范围。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【参考对象】现代音频应用通知徽章与明黄鸡形吉祥物；清楚鸡冠、短喙、尾羽和圆角胸牌，参考播报员准备说话的头部动作，非机械钟表或黄铜机器人。 参考原地播报的吸气—开喙—回收；沿用NMV2_ABN_N04_04，不混入其他角色或技能特效。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84" s="37" t="str">
        <x:v>只画本张：一只完整失效叮咚鸡原地仰头、短喙微开、翅膀收紧准备播报，通知胸牌局部提示红，双脚留在原位；单一交付对象/姿势，不含其他零件、对照姿势、sheet、文字、背景或地面投影。</x:v>
      </x:c>
      <x:c r="F284" s="37" t="str">
        <x:f>INDEX('素材需求'!$G$8:$G$119,MATCH(B284,'素材需求'!$A$8:$A$119,0))</x:f>
        <x:v>现代音频应用通知徽章与明黄鸡形吉祥物；清楚鸡冠、短喙、尾羽和圆角胸牌，参考播报员准备说话的头部动作，非机械钟表或黄铜机器人。 参考原地播报的吸气—开喙—回收；沿用NMV2_ABN_N04_04，不混入其他角色或技能特效。</x:v>
      </x:c>
      <x:c r="G284" s="37" t="str">
        <x:f>INDEX('素材需求'!$B$8:$B$119,MATCH(B284,'素材需求'!$A$8:$A$119,0))</x:f>
        <x:v>P1局部污染</x:v>
      </x:c>
      <x:c r="H284" s="37" t="str">
        <x:v>定稿／动作参考</x:v>
      </x:c>
      <x:c r="I284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84" s="37" t="str">
        <x:v>art_delivery/nm_v2/references/</x:v>
      </x:c>
      <x:c r="K284" s="45" t="str">
        <x:v>待生成</x:v>
      </x:c>
      <x:c r="L284" s="37" t="str">
        <x:v>windup</x:v>
      </x:c>
    </x:row>
    <x:row r="285" ht="342.75" customHeight="1">
      <x:c r="A285" s="38" t="str">
        <x:f>INDEX('素材需求'!$D$8:$D$119,MATCH(B285,'素材需求'!$A$8:$A$119,0))&amp;IF(L285="","","_"&amp;L285)&amp;".png"</x:f>
        <x:v>nm_v2_abn_dingdong_chicken_combat_reference_attack_peak.png</x:v>
      </x:c>
      <x:c r="B285" s="38" t="str">
        <x:v>NMV2_ABN_N04_06</x:v>
      </x:c>
      <x:c r="C285" s="38" t="str">
        <x:v>攻击命中姿势参考</x:v>
      </x:c>
      <x:c r="D285" s="38" t="str">
        <x:f>"【交付文件】"&amp;A285&amp;CHAR(10)&amp;"【本张任务】"&amp;C285&amp;CHAR(10)&amp;'生成规范'!$B$8&amp;CHAR(10)&amp;"【单张范围】"&amp;E285&amp;CHAR(10)&amp;"【本组造型约束】"&amp;INDEX('素材需求'!$F$8:$F$119,MATCH(B285,'素材需求'!$A$8:$A$119,0))&amp;CHAR(10)&amp;"【参考对象】"&amp;F285&amp;CHAR(10)&amp;"【制作规格】"&amp;I285&amp;"；"&amp;INDEX('素材需求'!$M$8:$M$119,MATCH(B285,'素材需求'!$A$8:$A$119,0))&amp;CHAR(10)&amp;"【颜色】"&amp;'生成规范'!$B$10&amp;"；"&amp;'生成规范'!$B$11&amp;CHAR(10)&amp;"【输出规则】"&amp;'生成规范'!$B$12&amp;" 后处理对齐尺寸与轴点；交付用途："&amp;H285&amp;CHAR(10)&amp;"【禁止项】"&amp;'生成规范'!$B$9&amp;"；"&amp;INDEX('素材需求'!$N$8:$N$119,MATCH(B285,'素材需求'!$A$8:$A$119,0))</x:f>
        <x:v>【交付文件】nm_v2_abn_dingdong_chicken_combat_reference_attack_peak.png
【本张任务】攻击命中姿势参考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叮咚鸡原地张开正常短喙、双翅略抬完成播报瞬间，胸牌重复通知色块，不画外部波形、字幕或其他鸡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洗脑循环播报：喙部开合和通知徽章局部红色强调，平台通知框、循环播放标签、波形与进度条由独立覆盖层呈现。胸牌只做通知身份，不绘虚假的倒计时或技能数值。 现有STATIONARY_BROADCAST的BLACK广播与工作打断规则保持；仅从真实播报前摇/命中显示开喙、翅膀和胸牌变化，不给N04新增行走、追击、计时或覆盖范围。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【参考对象】现代音频应用通知徽章与明黄鸡形吉祥物；清楚鸡冠、短喙、尾羽和圆角胸牌，参考播报员准备说话的头部动作，非机械钟表或黄铜机器人。 参考原地播报的吸气—开喙—回收；沿用NMV2_ABN_N04_04，不混入其他角色或技能特效。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85" s="38" t="str">
        <x:v>只画本张：一只完整失效叮咚鸡原地张开正常短喙、双翅略抬完成播报瞬间，胸牌重复通知色块，不画外部波形、字幕或其他鸡；单一交付对象/姿势，不含其他零件、对照姿势、sheet、文字、背景或地面投影。</x:v>
      </x:c>
      <x:c r="F285" s="38" t="str">
        <x:f>INDEX('素材需求'!$G$8:$G$119,MATCH(B285,'素材需求'!$A$8:$A$119,0))</x:f>
        <x:v>现代音频应用通知徽章与明黄鸡形吉祥物；清楚鸡冠、短喙、尾羽和圆角胸牌，参考播报员准备说话的头部动作，非机械钟表或黄铜机器人。 参考原地播报的吸气—开喙—回收；沿用NMV2_ABN_N04_04，不混入其他角色或技能特效。</x:v>
      </x:c>
      <x:c r="G285" s="38" t="str">
        <x:f>INDEX('素材需求'!$B$8:$B$119,MATCH(B285,'素材需求'!$A$8:$A$119,0))</x:f>
        <x:v>P1局部污染</x:v>
      </x:c>
      <x:c r="H285" s="38" t="str">
        <x:v>定稿／动作参考</x:v>
      </x:c>
      <x:c r="I285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85" s="38" t="str">
        <x:v>art_delivery/nm_v2/references/</x:v>
      </x:c>
      <x:c r="K285" s="45" t="str">
        <x:v>待生成</x:v>
      </x:c>
      <x:c r="L285" s="38" t="str">
        <x:v>attack_peak</x:v>
      </x:c>
    </x:row>
    <x:row r="286" ht="342.75" customHeight="1">
      <x:c r="A286" s="37" t="str">
        <x:f>INDEX('素材需求'!$D$8:$D$119,MATCH(B286,'素材需求'!$A$8:$A$119,0))&amp;IF(L286="","","_"&amp;L286)&amp;".png"</x:f>
        <x:v>nm_v2_abn_dingdong_chicken_combat_reference_hit_recoil.png</x:v>
      </x:c>
      <x:c r="B286" s="37" t="str">
        <x:v>NMV2_ABN_N04_06</x:v>
      </x:c>
      <x:c r="C286" s="37" t="str">
        <x:v>受击反馈参考</x:v>
      </x:c>
      <x:c r="D286" s="37" t="str">
        <x:f>"【交付文件】"&amp;A286&amp;CHAR(10)&amp;"【本张任务】"&amp;C286&amp;CHAR(10)&amp;'生成规范'!$B$8&amp;CHAR(10)&amp;"【单张范围】"&amp;E286&amp;CHAR(10)&amp;"【本组造型约束】"&amp;INDEX('素材需求'!$F$8:$F$119,MATCH(B286,'素材需求'!$A$8:$A$119,0))&amp;CHAR(10)&amp;"【参考对象】"&amp;F286&amp;CHAR(10)&amp;"【制作规格】"&amp;I286&amp;"；"&amp;INDEX('素材需求'!$M$8:$M$119,MATCH(B286,'素材需求'!$A$8:$A$119,0))&amp;CHAR(10)&amp;"【颜色】"&amp;'生成规范'!$B$10&amp;"；"&amp;'生成规范'!$B$11&amp;CHAR(10)&amp;"【输出规则】"&amp;'生成规范'!$B$12&amp;" 后处理对齐尺寸与轴点；交付用途："&amp;H286&amp;CHAR(10)&amp;"【禁止项】"&amp;'生成规范'!$B$9&amp;"；"&amp;INDEX('素材需求'!$N$8:$N$119,MATCH(B286,'素材需求'!$A$8:$A$119,0))</x:f>
        <x:v>【交付文件】nm_v2_abn_dingdong_chicken_combat_reference_hit_recoil.png
【本张任务】受击反馈参考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【单张范围】只画本张：一只完整失效叮咚鸡受到一次现有攻击后的短促收缩/偏头姿势，足底不传送，无伤口、血液或死亡形态；单一交付对象/姿势，不含其他零件、对照姿势、sheet、文字、背景或地面投影。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洗脑循环播报：喙部开合和通知徽章局部红色强调，平台通知框、循环播放标签、波形与进度条由独立覆盖层呈现。胸牌只做通知身份，不绘虚假的倒计时或技能数值。 现有STATIONARY_BROADCAST的BLACK广播与工作打断规则保持；仅从真实播报前摇/命中显示开喙、翅膀和胸牌变化，不给N04新增行走、追击、计时或覆盖范围。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【参考对象】现代音频应用通知徽章与明黄鸡形吉祥物；清楚鸡冠、短喙、尾羽和圆角胸牌，参考播报员准备说话的头部动作，非机械钟表或黄铜机器人。 参考原地播报的吸气—开喙—回收；沿用NMV2_ABN_N04_04，不混入其他角色或技能特效。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。记录颈根、上下喙铰点、翅根、尾根、腿根和胸前徽章固定点。失效本体仍驻留原入口，不为演出添加巡游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86" s="37" t="str">
        <x:v>只画本张：一只完整失效叮咚鸡受到一次现有攻击后的短促收缩/偏头姿势，足底不传送，无伤口、血液或死亡形态；单一交付对象/姿势，不含其他零件、对照姿势、sheet、文字、背景或地面投影。</x:v>
      </x:c>
      <x:c r="F286" s="37" t="str">
        <x:f>INDEX('素材需求'!$G$8:$G$119,MATCH(B286,'素材需求'!$A$8:$A$119,0))</x:f>
        <x:v>现代音频应用通知徽章与明黄鸡形吉祥物；清楚鸡冠、短喙、尾羽和圆角胸牌，参考播报员准备说话的头部动作，非机械钟表或黄铜机器人。 参考原地播报的吸气—开喙—回收；沿用NMV2_ABN_N04_04，不混入其他角色或技能特效。</x:v>
      </x:c>
      <x:c r="G286" s="37" t="str">
        <x:f>INDEX('素材需求'!$B$8:$B$119,MATCH(B286,'素材需求'!$A$8:$A$119,0))</x:f>
        <x:v>P1局部污染</x:v>
      </x:c>
      <x:c r="H286" s="37" t="str">
        <x:v>定稿／动作参考</x:v>
      </x:c>
      <x:c r="I286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86" s="37" t="str">
        <x:v>art_delivery/nm_v2/references/</x:v>
      </x:c>
      <x:c r="K286" s="45" t="str">
        <x:v>待生成</x:v>
      </x:c>
      <x:c r="L286" s="37" t="str">
        <x:v>hit_recoil</x:v>
      </x:c>
    </x:row>
    <x:row r="287" ht="342.75" customHeight="1">
      <x:c r="A287" s="38" t="str">
        <x:f>INDEX('素材需求'!$D$8:$D$119,MATCH(B287,'素材需求'!$A$8:$A$119,0))&amp;IF(L287="","","_"&amp;L287)&amp;".png"</x:f>
        <x:v>nm_v2_abn_gugu_gaga_pollution_identity_approved.png</x:v>
      </x:c>
      <x:c r="B287" s="38" t="str">
        <x:v>NMV2_ABN_N05_04</x:v>
      </x:c>
      <x:c r="C287" s="38" t="str">
        <x:v>污染状态完整形象</x:v>
      </x:c>
      <x:c r="D287" s="38" t="str">
        <x:f>"【交付文件】"&amp;A287&amp;CHAR(10)&amp;"【本张任务】"&amp;C287&amp;CHAR(10)&amp;'生成规范'!$B$8&amp;CHAR(10)&amp;"【单张范围】"&amp;E287&amp;CHAR(10)&amp;"【本组造型约束】"&amp;INDEX('素材需求'!$F$8:$F$119,MATCH(B287,'素材需求'!$A$8:$A$119,0))&amp;CHAR(10)&amp;"【参考对象】"&amp;F287&amp;CHAR(10)&amp;"【制作规格】"&amp;I287&amp;"；"&amp;INDEX('素材需求'!$M$8:$M$119,MATCH(B287,'素材需求'!$A$8:$A$119,0))&amp;CHAR(10)&amp;"【颜色】"&amp;'生成规范'!$B$10&amp;"；"&amp;'生成规范'!$B$11&amp;CHAR(10)&amp;"【输出规则】"&amp;'生成规范'!$B$12&amp;" 后处理对齐尺寸与轴点；交付用途："&amp;H287&amp;CHAR(10)&amp;"【禁止项】"&amp;'生成规范'!$B$9&amp;"；"&amp;INDEX('素材需求'!$N$8:$N$119,MATCH(B287,'素材需求'!$A$8:$A$119,0))</x:f>
        <x:v>【交付文件】nm_v2_abn_gugu_gaga_pollution_identity_approved.png
【本张任务】污染状态完整形象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咕咕嘎嘎；保持其常态物种、肢体和体型，通过含泪眼睛与短喙哭闹表现平台污染，不附带评论框或额外特效对象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浅蓝与粉白的软质企鹅，短圆身体、浅色脸斑、正常眼睛、小喙、两只短鳍和稳固短足；现代轻软围巾保留既有动作挂点，像需要照顾而非可怕的幼态噪声源。 哭闹与情绪溢出：眼睛含泪、嘴部短促开合、双鳍紧张摆动，粉白浅蓝中少量幼态杂讯色。软弹气泡、拟声和情绪波纹由独立污染层显示，不新增安抚数值条或幼儿照料系统。 定稿聚焦一个角色的状态，不画整间房、其他实体或平台界面大拼贴。普通体型和脚底不变。
【参考对象】浅蓝粉白软玩偶式企鹅、儿童拟声动画的情绪表情和轻软短围巾；保留正常眼球、短喙、短鳍，避免黑洞眼、错位长颈与阴冷幽灵形态。 以NMV2_ABN_N05_01为同一个体；平台母题为：哭闹与情绪溢出：眼睛含泪、嘴部短促开合、双鳍紧张摆动，粉白浅蓝中少量幼态杂讯色。软弹气泡、拟声和情绪波纹由独立污染层显示，不新增安抚数值条或幼儿照料系统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87" s="38" t="str">
        <x:v>只画本张：一只完整失效咕咕嘎嘎；保持其常态物种、肢体和体型，通过含泪眼睛与短喙哭闹表现平台污染，不附带评论框或额外特效对象；单一交付对象/姿势，不含其他零件、对照姿势、sheet、文字、背景或地面投影。</x:v>
      </x:c>
      <x:c r="F287" s="38" t="str">
        <x:f>INDEX('素材需求'!$G$8:$G$119,MATCH(B287,'素材需求'!$A$8:$A$119,0))</x:f>
        <x:v>浅蓝粉白软玩偶式企鹅、儿童拟声动画的情绪表情和轻软短围巾；保留正常眼球、短喙、短鳍，避免黑洞眼、错位长颈与阴冷幽灵形态。 以NMV2_ABN_N05_01为同一个体；平台母题为：哭闹与情绪溢出：眼睛含泪、嘴部短促开合、双鳍紧张摆动，粉白浅蓝中少量幼态杂讯色。软弹气泡、拟声和情绪波纹由独立污染层显示，不新增安抚数值条或幼儿照料系统。</x:v>
      </x:c>
      <x:c r="G287" s="38" t="str">
        <x:f>INDEX('素材需求'!$B$8:$B$119,MATCH(B287,'素材需求'!$A$8:$A$119,0))</x:f>
        <x:v>P1局部污染</x:v>
      </x:c>
      <x:c r="H287" s="38" t="str">
        <x:v>定稿／动作参考</x:v>
      </x:c>
      <x:c r="I287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87" s="38" t="str">
        <x:v>art_delivery/nm_v2/references/</x:v>
      </x:c>
      <x:c r="K287" s="45" t="str">
        <x:v>待生成</x:v>
      </x:c>
      <x:c r="L287" s="38" t="str">
        <x:v>approved</x:v>
      </x:c>
    </x:row>
    <x:row r="288" ht="328.5" customHeight="1">
      <x:c r="A288" s="37" t="str">
        <x:f>INDEX('素材需求'!$D$8:$D$119,MATCH(B288,'素材需求'!$A$8:$A$119,0))&amp;IF(L288="","","_"&amp;L288)&amp;".png"</x:f>
        <x:v>nm_v2_abn_gugu_gaga_pollution_parts_cry_eyes.png</x:v>
      </x:c>
      <x:c r="B288" s="37" t="str">
        <x:v>NMV2_ABN_N05_05</x:v>
      </x:c>
      <x:c r="C288" s="37" t="str">
        <x:v>哭闹眼层</x:v>
      </x:c>
      <x:c r="D288" s="37" t="str">
        <x:f>"【交付文件】"&amp;A288&amp;CHAR(10)&amp;"【本张任务】"&amp;C288&amp;CHAR(10)&amp;'生成规范'!$B$8&amp;CHAR(10)&amp;"【单张范围】"&amp;E288&amp;CHAR(10)&amp;"【本组造型约束】"&amp;INDEX('素材需求'!$F$8:$F$119,MATCH(B288,'素材需求'!$A$8:$A$119,0))&amp;CHAR(10)&amp;"【参考对象】"&amp;F288&amp;CHAR(10)&amp;"【制作规格】"&amp;I288&amp;"；"&amp;INDEX('素材需求'!$M$8:$M$119,MATCH(B288,'素材需求'!$A$8:$A$119,0))&amp;CHAR(10)&amp;"【颜色】"&amp;'生成规范'!$B$10&amp;"；"&amp;'生成规范'!$B$11&amp;CHAR(10)&amp;"【输出规则】"&amp;'生成规范'!$B$12&amp;" 后处理对齐尺寸与轴点；交付用途："&amp;H288&amp;CHAR(10)&amp;"【禁止项】"&amp;'生成规范'!$B$9&amp;"；"&amp;INDEX('素材需求'!$N$8:$N$119,MATCH(B288,'素材需求'!$A$8:$A$119,0))</x:f>
        <x:v>【交付文件】nm_v2_abn_gugu_gaga_pollution_parts_cry_eyes.png
【本张任务】哭闹眼层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咕咕嘎嘎一对带泪光、略皱起的正常眼睛，少量粉色情绪色，透明底，无泪弹、黑洞眼、完整头或外部气泡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哭闹与情绪溢出：眼睛含泪、嘴部短促开合、双鳍紧张摆动，粉白浅蓝中少量幼态杂讯色。软弹气泡、拟声和情绪波纹由独立污染层显示，不新增安抚数值条或幼儿照料系统。 只增加必要的面部/胸牌局部层，不能生成另一具身体；显示本层时隐藏对应普通层，避免双眼双嘴叠印。
【参考对象】浅蓝粉白软玩偶式企鹅、儿童拟声动画的情绪表情和轻软短围巾；保留正常眼球、短喙、短鳍，避免黑洞眼、错位长颈与阴冷幽灵形态。 参考NMV2_ABN_N05_04批准的单角色污染表情/胸牌，严格沿用同一面部挂点。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88" s="37" t="str">
        <x:v>只画本张：咕咕嘎嘎一对带泪光、略皱起的正常眼睛，少量粉色情绪色，透明底，无泪弹、黑洞眼、完整头或外部气泡；单一交付对象/姿势，不含其他零件、对照姿势、sheet、文字、背景或地面投影。</x:v>
      </x:c>
      <x:c r="F288" s="37" t="str">
        <x:f>INDEX('素材需求'!$G$8:$G$119,MATCH(B288,'素材需求'!$A$8:$A$119,0))</x:f>
        <x:v>浅蓝粉白软玩偶式企鹅、儿童拟声动画的情绪表情和轻软短围巾；保留正常眼球、短喙、短鳍，避免黑洞眼、错位长颈与阴冷幽灵形态。 参考NMV2_ABN_N05_04批准的单角色污染表情/胸牌，严格沿用同一面部挂点。</x:v>
      </x:c>
      <x:c r="G288" s="37" t="str">
        <x:f>INDEX('素材需求'!$B$8:$B$119,MATCH(B288,'素材需求'!$A$8:$A$119,0))</x:f>
        <x:v>P1局部污染</x:v>
      </x:c>
      <x:c r="H288" s="37" t="str">
        <x:v>游戏拆件／贴图</x:v>
      </x:c>
      <x:c r="I288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88" s="37" t="str">
        <x:v>art_delivery/nm_v2/abnormalities/</x:v>
      </x:c>
      <x:c r="K288" s="45" t="str">
        <x:v>待生成</x:v>
      </x:c>
      <x:c r="L288" s="37" t="str">
        <x:v>cry_eyes</x:v>
      </x:c>
    </x:row>
    <x:row r="289" ht="342.75" customHeight="1">
      <x:c r="A289" s="38" t="str">
        <x:f>INDEX('素材需求'!$D$8:$D$119,MATCH(B289,'素材需求'!$A$8:$A$119,0))&amp;IF(L289="","","_"&amp;L289)&amp;".png"</x:f>
        <x:v>nm_v2_abn_gugu_gaga_combat_reference_walk_left_support.png</x:v>
      </x:c>
      <x:c r="B289" s="38" t="str">
        <x:v>NMV2_ABN_N05_06</x:v>
      </x:c>
      <x:c r="C289" s="38" t="str">
        <x:v>巡游步态左足支撑</x:v>
      </x:c>
      <x:c r="D289" s="38" t="str">
        <x:f>"【交付文件】"&amp;A289&amp;CHAR(10)&amp;"【本张任务】"&amp;C289&amp;CHAR(10)&amp;'生成规范'!$B$8&amp;CHAR(10)&amp;"【单张范围】"&amp;E289&amp;CHAR(10)&amp;"【本组造型约束】"&amp;INDEX('素材需求'!$F$8:$F$119,MATCH(B289,'素材需求'!$A$8:$A$119,0))&amp;CHAR(10)&amp;"【参考对象】"&amp;F289&amp;CHAR(10)&amp;"【制作规格】"&amp;I289&amp;"；"&amp;INDEX('素材需求'!$M$8:$M$119,MATCH(B289,'素材需求'!$A$8:$A$119,0))&amp;CHAR(10)&amp;"【颜色】"&amp;'生成规范'!$B$10&amp;"；"&amp;'生成规范'!$B$11&amp;CHAR(10)&amp;"【输出规则】"&amp;'生成规范'!$B$12&amp;" 后处理对齐尺寸与轴点；交付用途："&amp;H289&amp;CHAR(10)&amp;"【禁止项】"&amp;'生成规范'!$B$9&amp;"；"&amp;INDEX('素材需求'!$N$8:$N$119,MATCH(B289,'素材需求'!$A$8:$A$119,0))</x:f>
        <x:v>【交付文件】nm_v2_abn_gugu_gaga_combat_reference_walk_left_support.png
【本张任务】巡游步态左足支撑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咕咕嘎嘎朝右行走关键姿势，左侧足支撑、另一足自然前移，正常肢体长度，足底与地面基准一致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哭闹与情绪溢出：眼睛含泪、嘴部短促开合、双鳍紧张摆动，粉白浅蓝中少量幼态杂讯色。软弹气泡、拟声和情绪波纹由独立污染层显示，不新增安抚数值条或幼儿照料系统。 现有PATROL_AOE及PALE哭闹范围沿用原路径、范围和时序；短鳍摆动与哭闹眼层只呈现真实巡游/前摇/命中，不制造新声场、情绪值、治疗或传送。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【参考对象】浅蓝粉白软玩偶式企鹅、儿童拟声动画的情绪表情和轻软短围巾；保留正常眼球、短喙、短鳍，避免黑洞眼、错位长颈与阴冷幽灵形态。 参考短步可读的重心交替与前摇—发声/挥击—回收；沿用NMV2_ABN_N05_04，不混入其他角色或技能特效。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89" s="38" t="str">
        <x:v>只画本张：一只完整失效咕咕嘎嘎朝右行走关键姿势，左侧足支撑、另一足自然前移，正常肢体长度，足底与地面基准一致；单一交付对象/姿势，不含其他零件、对照姿势、sheet、文字、背景或地面投影。</x:v>
      </x:c>
      <x:c r="F289" s="38" t="str">
        <x:f>INDEX('素材需求'!$G$8:$G$119,MATCH(B289,'素材需求'!$A$8:$A$119,0))</x:f>
        <x:v>浅蓝粉白软玩偶式企鹅、儿童拟声动画的情绪表情和轻软短围巾；保留正常眼球、短喙、短鳍，避免黑洞眼、错位长颈与阴冷幽灵形态。 参考短步可读的重心交替与前摇—发声/挥击—回收；沿用NMV2_ABN_N05_04，不混入其他角色或技能特效。</x:v>
      </x:c>
      <x:c r="G289" s="38" t="str">
        <x:f>INDEX('素材需求'!$B$8:$B$119,MATCH(B289,'素材需求'!$A$8:$A$119,0))</x:f>
        <x:v>P1局部污染</x:v>
      </x:c>
      <x:c r="H289" s="38" t="str">
        <x:v>定稿／动作参考</x:v>
      </x:c>
      <x:c r="I289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89" s="38" t="str">
        <x:v>art_delivery/nm_v2/references/</x:v>
      </x:c>
      <x:c r="K289" s="45" t="str">
        <x:v>待生成</x:v>
      </x:c>
      <x:c r="L289" s="38" t="str">
        <x:v>walk_left_support</x:v>
      </x:c>
    </x:row>
    <x:row r="290" ht="342.75" customHeight="1">
      <x:c r="A290" s="37" t="str">
        <x:f>INDEX('素材需求'!$D$8:$D$119,MATCH(B290,'素材需求'!$A$8:$A$119,0))&amp;IF(L290="","","_"&amp;L290)&amp;".png"</x:f>
        <x:v>nm_v2_abn_gugu_gaga_combat_reference_walk_right_support.png</x:v>
      </x:c>
      <x:c r="B290" s="37" t="str">
        <x:v>NMV2_ABN_N05_06</x:v>
      </x:c>
      <x:c r="C290" s="37" t="str">
        <x:v>巡游步态右足支撑</x:v>
      </x:c>
      <x:c r="D290" s="37" t="str">
        <x:f>"【交付文件】"&amp;A290&amp;CHAR(10)&amp;"【本张任务】"&amp;C290&amp;CHAR(10)&amp;'生成规范'!$B$8&amp;CHAR(10)&amp;"【单张范围】"&amp;E290&amp;CHAR(10)&amp;"【本组造型约束】"&amp;INDEX('素材需求'!$F$8:$F$119,MATCH(B290,'素材需求'!$A$8:$A$119,0))&amp;CHAR(10)&amp;"【参考对象】"&amp;F290&amp;CHAR(10)&amp;"【制作规格】"&amp;I290&amp;"；"&amp;INDEX('素材需求'!$M$8:$M$119,MATCH(B290,'素材需求'!$A$8:$A$119,0))&amp;CHAR(10)&amp;"【颜色】"&amp;'生成规范'!$B$10&amp;"；"&amp;'生成规范'!$B$11&amp;CHAR(10)&amp;"【输出规则】"&amp;'生成规范'!$B$12&amp;" 后处理对齐尺寸与轴点；交付用途："&amp;H290&amp;CHAR(10)&amp;"【禁止项】"&amp;'生成规范'!$B$9&amp;"；"&amp;INDEX('素材需求'!$N$8:$N$119,MATCH(B290,'素材需求'!$A$8:$A$119,0))</x:f>
        <x:v>【交付文件】nm_v2_abn_gugu_gaga_combat_reference_walk_right_support.png
【本张任务】巡游步态右足支撑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咕咕嘎嘎朝右行走另一关键姿势，右侧足支撑、另一足自然前移，正常肢体长度，不画运动残影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哭闹与情绪溢出：眼睛含泪、嘴部短促开合、双鳍紧张摆动，粉白浅蓝中少量幼态杂讯色。软弹气泡、拟声和情绪波纹由独立污染层显示，不新增安抚数值条或幼儿照料系统。 现有PATROL_AOE及PALE哭闹范围沿用原路径、范围和时序；短鳍摆动与哭闹眼层只呈现真实巡游/前摇/命中，不制造新声场、情绪值、治疗或传送。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【参考对象】浅蓝粉白软玩偶式企鹅、儿童拟声动画的情绪表情和轻软短围巾；保留正常眼球、短喙、短鳍，避免黑洞眼、错位长颈与阴冷幽灵形态。 参考短步可读的重心交替与前摇—发声/挥击—回收；沿用NMV2_ABN_N05_04，不混入其他角色或技能特效。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90" s="37" t="str">
        <x:v>只画本张：一只完整失效咕咕嘎嘎朝右行走另一关键姿势，右侧足支撑、另一足自然前移，正常肢体长度，不画运动残影；单一交付对象/姿势，不含其他零件、对照姿势、sheet、文字、背景或地面投影。</x:v>
      </x:c>
      <x:c r="F290" s="37" t="str">
        <x:f>INDEX('素材需求'!$G$8:$G$119,MATCH(B290,'素材需求'!$A$8:$A$119,0))</x:f>
        <x:v>浅蓝粉白软玩偶式企鹅、儿童拟声动画的情绪表情和轻软短围巾；保留正常眼球、短喙、短鳍，避免黑洞眼、错位长颈与阴冷幽灵形态。 参考短步可读的重心交替与前摇—发声/挥击—回收；沿用NMV2_ABN_N05_04，不混入其他角色或技能特效。</x:v>
      </x:c>
      <x:c r="G290" s="37" t="str">
        <x:f>INDEX('素材需求'!$B$8:$B$119,MATCH(B290,'素材需求'!$A$8:$A$119,0))</x:f>
        <x:v>P1局部污染</x:v>
      </x:c>
      <x:c r="H290" s="37" t="str">
        <x:v>定稿／动作参考</x:v>
      </x:c>
      <x:c r="I29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90" s="37" t="str">
        <x:v>art_delivery/nm_v2/references/</x:v>
      </x:c>
      <x:c r="K290" s="45" t="str">
        <x:v>待生成</x:v>
      </x:c>
      <x:c r="L290" s="37" t="str">
        <x:v>walk_right_support</x:v>
      </x:c>
    </x:row>
    <x:row r="291" ht="342.75" customHeight="1">
      <x:c r="A291" s="38" t="str">
        <x:f>INDEX('素材需求'!$D$8:$D$119,MATCH(B291,'素材需求'!$A$8:$A$119,0))&amp;IF(L291="","","_"&amp;L291)&amp;".png"</x:f>
        <x:v>nm_v2_abn_gugu_gaga_combat_reference_windup.png</x:v>
      </x:c>
      <x:c r="B291" s="38" t="str">
        <x:v>NMV2_ABN_N05_06</x:v>
      </x:c>
      <x:c r="C291" s="38" t="str">
        <x:v>攻击前摇参考</x:v>
      </x:c>
      <x:c r="D291" s="38" t="str">
        <x:f>"【交付文件】"&amp;A291&amp;CHAR(10)&amp;"【本张任务】"&amp;C291&amp;CHAR(10)&amp;'生成规范'!$B$8&amp;CHAR(10)&amp;"【单张范围】"&amp;E291&amp;CHAR(10)&amp;"【本组造型约束】"&amp;INDEX('素材需求'!$F$8:$F$119,MATCH(B291,'素材需求'!$A$8:$A$119,0))&amp;CHAR(10)&amp;"【参考对象】"&amp;F291&amp;CHAR(10)&amp;"【制作规格】"&amp;I291&amp;"；"&amp;INDEX('素材需求'!$M$8:$M$119,MATCH(B291,'素材需求'!$A$8:$A$119,0))&amp;CHAR(10)&amp;"【颜色】"&amp;'生成规范'!$B$10&amp;"；"&amp;'生成规范'!$B$11&amp;CHAR(10)&amp;"【输出规则】"&amp;'生成规范'!$B$12&amp;" 后处理对齐尺寸与轴点；交付用途："&amp;H291&amp;CHAR(10)&amp;"【禁止项】"&amp;'生成规范'!$B$9&amp;"；"&amp;INDEX('素材需求'!$N$8:$N$119,MATCH(B291,'素材需求'!$A$8:$A$119,0))</x:f>
        <x:v>【交付文件】nm_v2_abn_gugu_gaga_combat_reference_windup.png
【本张任务】攻击前摇参考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【单张范围】只画本张：一只完整失效咕咕嘎嘎双鳍向胸前靠拢，小嘴将开、正常眼睛含泪，身体略压低但不改变脚底锚点；单一交付对象/姿势，不含其他零件、对照姿势、sheet、文字、背景或地面投影。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哭闹与情绪溢出：眼睛含泪、嘴部短促开合、双鳍紧张摆动，粉白浅蓝中少量幼态杂讯色。软弹气泡、拟声和情绪波纹由独立污染层显示，不新增安抚数值条或幼儿照料系统。 现有PATROL_AOE及PALE哭闹范围沿用原路径、范围和时序；短鳍摆动与哭闹眼层只呈现真实巡游/前摇/命中，不制造新声场、情绪值、治疗或传送。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【参考对象】浅蓝粉白软玩偶式企鹅、儿童拟声动画的情绪表情和轻软短围巾；保留正常眼球、短喙、短鳍，避免黑洞眼、错位长颈与阴冷幽灵形态。 参考短步可读的重心交替与前摇—发声/挥击—回收；沿用NMV2_ABN_N05_04，不混入其他角色或技能特效。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91" s="38" t="str">
        <x:v>只画本张：一只完整失效咕咕嘎嘎双鳍向胸前靠拢，小嘴将开、正常眼睛含泪，身体略压低但不改变脚底锚点；单一交付对象/姿势，不含其他零件、对照姿势、sheet、文字、背景或地面投影。</x:v>
      </x:c>
      <x:c r="F291" s="38" t="str">
        <x:f>INDEX('素材需求'!$G$8:$G$119,MATCH(B291,'素材需求'!$A$8:$A$119,0))</x:f>
        <x:v>浅蓝粉白软玩偶式企鹅、儿童拟声动画的情绪表情和轻软短围巾；保留正常眼球、短喙、短鳍，避免黑洞眼、错位长颈与阴冷幽灵形态。 参考短步可读的重心交替与前摇—发声/挥击—回收；沿用NMV2_ABN_N05_04，不混入其他角色或技能特效。</x:v>
      </x:c>
      <x:c r="G291" s="38" t="str">
        <x:f>INDEX('素材需求'!$B$8:$B$119,MATCH(B291,'素材需求'!$A$8:$A$119,0))</x:f>
        <x:v>P1局部污染</x:v>
      </x:c>
      <x:c r="H291" s="38" t="str">
        <x:v>定稿／动作参考</x:v>
      </x:c>
      <x:c r="I291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91" s="38" t="str">
        <x:v>art_delivery/nm_v2/references/</x:v>
      </x:c>
      <x:c r="K291" s="45" t="str">
        <x:v>待生成</x:v>
      </x:c>
      <x:c r="L291" s="38" t="str">
        <x:v>windup</x:v>
      </x:c>
    </x:row>
    <x:row r="292" ht="342.75" customHeight="1">
      <x:c r="A292" s="37" t="str">
        <x:f>INDEX('素材需求'!$D$8:$D$119,MATCH(B292,'素材需求'!$A$8:$A$119,0))&amp;IF(L292="","","_"&amp;L292)&amp;".png"</x:f>
        <x:v>nm_v2_abn_gugu_gaga_combat_reference_attack_peak.png</x:v>
      </x:c>
      <x:c r="B292" s="37" t="str">
        <x:v>NMV2_ABN_N05_06</x:v>
      </x:c>
      <x:c r="C292" s="37" t="str">
        <x:v>攻击命中姿势参考</x:v>
      </x:c>
      <x:c r="D292" s="37" t="str">
        <x:f>"【交付文件】"&amp;A292&amp;CHAR(10)&amp;"【本张任务】"&amp;C292&amp;CHAR(10)&amp;'生成规范'!$B$8&amp;CHAR(10)&amp;"【单张范围】"&amp;E292&amp;CHAR(10)&amp;"【本组造型约束】"&amp;INDEX('素材需求'!$F$8:$F$119,MATCH(B292,'素材需求'!$A$8:$A$119,0))&amp;CHAR(10)&amp;"【参考对象】"&amp;F292&amp;CHAR(10)&amp;"【制作规格】"&amp;I292&amp;"；"&amp;INDEX('素材需求'!$M$8:$M$119,MATCH(B292,'素材需求'!$A$8:$A$119,0))&amp;CHAR(10)&amp;"【颜色】"&amp;'生成规范'!$B$10&amp;"；"&amp;'生成规范'!$B$11&amp;CHAR(10)&amp;"【输出规则】"&amp;'生成规范'!$B$12&amp;" 后处理对齐尺寸与轴点；交付用途："&amp;H292&amp;CHAR(10)&amp;"【禁止项】"&amp;'生成规范'!$B$9&amp;"；"&amp;INDEX('素材需求'!$N$8:$N$119,MATCH(B292,'素材需求'!$A$8:$A$119,0))</x:f>
        <x:v>【交付文件】nm_v2_abn_gugu_gaga_combat_reference_attack_peak.png
【本张任务】攻击命中姿势参考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【单张范围】只画本张：一只完整失效咕咕嘎嘎短喙张开、双鳍轻扬，呈现一次哭闹发声瞬间，不画外部气泡、泪弹或长颈；单一交付对象/姿势，不含其他零件、对照姿势、sheet、文字、背景或地面投影。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哭闹与情绪溢出：眼睛含泪、嘴部短促开合、双鳍紧张摆动，粉白浅蓝中少量幼态杂讯色。软弹气泡、拟声和情绪波纹由独立污染层显示，不新增安抚数值条或幼儿照料系统。 现有PATROL_AOE及PALE哭闹范围沿用原路径、范围和时序；短鳍摆动与哭闹眼层只呈现真实巡游/前摇/命中，不制造新声场、情绪值、治疗或传送。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【参考对象】浅蓝粉白软玩偶式企鹅、儿童拟声动画的情绪表情和轻软短围巾；保留正常眼球、短喙、短鳍，避免黑洞眼、错位长颈与阴冷幽灵形态。 参考短步可读的重心交替与前摇—发声/挥击—回收；沿用NMV2_ABN_N05_04，不混入其他角色或技能特效。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92" s="37" t="str">
        <x:v>只画本张：一只完整失效咕咕嘎嘎短喙张开、双鳍轻扬，呈现一次哭闹发声瞬间，不画外部气泡、泪弹或长颈；单一交付对象/姿势，不含其他零件、对照姿势、sheet、文字、背景或地面投影。</x:v>
      </x:c>
      <x:c r="F292" s="37" t="str">
        <x:f>INDEX('素材需求'!$G$8:$G$119,MATCH(B292,'素材需求'!$A$8:$A$119,0))</x:f>
        <x:v>浅蓝粉白软玩偶式企鹅、儿童拟声动画的情绪表情和轻软短围巾；保留正常眼球、短喙、短鳍，避免黑洞眼、错位长颈与阴冷幽灵形态。 参考短步可读的重心交替与前摇—发声/挥击—回收；沿用NMV2_ABN_N05_04，不混入其他角色或技能特效。</x:v>
      </x:c>
      <x:c r="G292" s="37" t="str">
        <x:f>INDEX('素材需求'!$B$8:$B$119,MATCH(B292,'素材需求'!$A$8:$A$119,0))</x:f>
        <x:v>P1局部污染</x:v>
      </x:c>
      <x:c r="H292" s="37" t="str">
        <x:v>定稿／动作参考</x:v>
      </x:c>
      <x:c r="I292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92" s="37" t="str">
        <x:v>art_delivery/nm_v2/references/</x:v>
      </x:c>
      <x:c r="K292" s="45" t="str">
        <x:v>待生成</x:v>
      </x:c>
      <x:c r="L292" s="37" t="str">
        <x:v>attack_peak</x:v>
      </x:c>
    </x:row>
    <x:row r="293" ht="342.75" customHeight="1">
      <x:c r="A293" s="38" t="str">
        <x:f>INDEX('素材需求'!$D$8:$D$119,MATCH(B293,'素材需求'!$A$8:$A$119,0))&amp;IF(L293="","","_"&amp;L293)&amp;".png"</x:f>
        <x:v>nm_v2_abn_gugu_gaga_combat_reference_hit_recoil.png</x:v>
      </x:c>
      <x:c r="B293" s="38" t="str">
        <x:v>NMV2_ABN_N05_06</x:v>
      </x:c>
      <x:c r="C293" s="38" t="str">
        <x:v>受击反馈参考</x:v>
      </x:c>
      <x:c r="D293" s="38" t="str">
        <x:f>"【交付文件】"&amp;A293&amp;CHAR(10)&amp;"【本张任务】"&amp;C293&amp;CHAR(10)&amp;'生成规范'!$B$8&amp;CHAR(10)&amp;"【单张范围】"&amp;E293&amp;CHAR(10)&amp;"【本组造型约束】"&amp;INDEX('素材需求'!$F$8:$F$119,MATCH(B293,'素材需求'!$A$8:$A$119,0))&amp;CHAR(10)&amp;"【参考对象】"&amp;F293&amp;CHAR(10)&amp;"【制作规格】"&amp;I293&amp;"；"&amp;INDEX('素材需求'!$M$8:$M$119,MATCH(B293,'素材需求'!$A$8:$A$119,0))&amp;CHAR(10)&amp;"【颜色】"&amp;'生成规范'!$B$10&amp;"；"&amp;'生成规范'!$B$11&amp;CHAR(10)&amp;"【输出规则】"&amp;'生成规范'!$B$12&amp;" 后处理对齐尺寸与轴点；交付用途："&amp;H293&amp;CHAR(10)&amp;"【禁止项】"&amp;'生成规范'!$B$9&amp;"；"&amp;INDEX('素材需求'!$N$8:$N$119,MATCH(B293,'素材需求'!$A$8:$A$119,0))</x:f>
        <x:v>【交付文件】nm_v2_abn_gugu_gaga_combat_reference_hit_recoil.png
【本张任务】受击反馈参考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只完整失效咕咕嘎嘎受到一次现有攻击后的短促收缩/偏头姿势，足底不传送，无伤口、血液或死亡形态；单一交付对象/姿势，不含其他零件、对照姿势、sheet、文字、背景或地面投影。
【本组造型约束】现代2D设施中的网梗收容物，简洁明确轮廓、干净色块、克制柔和阴影。常态可爱或荒诞；局部平台污染通过重复表情、色彩强调和外部覆盖层呈现，保留物种结构与正常肢体长度。 哭闹与情绪溢出：眼睛含泪、嘴部短促开合、双鳍紧张摆动，粉白浅蓝中少量幼态杂讯色。软弹气泡、拟声和情绪波纹由独立污染层显示，不新增安抚数值条或幼儿照料系统。 现有PATROL_AOE及PALE哭闹范围沿用原路径、范围和时序；短鳍摆动与哭闹眼层只呈现真实巡游/前摇/命中，不制造新声场、情绪值、治疗或传送。 本组是骨架动作/姿态参考，不是逐帧动画、sprite sheet或运行贴图；后续仅按现有pose.time/stride、working、windup、hurt等真实状态制作部件动作，暂停时冻结，不用参考图自动改变速度、伤害、产能或攻击时序。
【参考对象】浅蓝粉白软玩偶式企鹅、儿童拟声动画的情绪表情和轻软短围巾；保留正常眼球、短喙、短鳍，避免黑洞眼、错位长颈与阴冷幽灵形态。 参考短步可读的重心交替与前摇—发声/挥击—回收；沿用NMV2_ABN_N05_04，不混入其他角色或技能特效。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根在双足地面中点；1024×1024装配母版(512,896)，朝右；记录头根、上下喙铰点、双鳍根、足根、围巾领口和长短垂片挂点。巡游根位移由实际路径提供，演出不得漂移或拉长身体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293" s="38" t="str">
        <x:v>只画本张：一只完整失效咕咕嘎嘎受到一次现有攻击后的短促收缩/偏头姿势，足底不传送，无伤口、血液或死亡形态；单一交付对象/姿势，不含其他零件、对照姿势、sheet、文字、背景或地面投影。</x:v>
      </x:c>
      <x:c r="F293" s="38" t="str">
        <x:f>INDEX('素材需求'!$G$8:$G$119,MATCH(B293,'素材需求'!$A$8:$A$119,0))</x:f>
        <x:v>浅蓝粉白软玩偶式企鹅、儿童拟声动画的情绪表情和轻软短围巾；保留正常眼球、短喙、短鳍，避免黑洞眼、错位长颈与阴冷幽灵形态。 参考短步可读的重心交替与前摇—发声/挥击—回收；沿用NMV2_ABN_N05_04，不混入其他角色或技能特效。</x:v>
      </x:c>
      <x:c r="G293" s="38" t="str">
        <x:f>INDEX('素材需求'!$B$8:$B$119,MATCH(B293,'素材需求'!$A$8:$A$119,0))</x:f>
        <x:v>P1局部污染</x:v>
      </x:c>
      <x:c r="H293" s="38" t="str">
        <x:v>定稿／动作参考</x:v>
      </x:c>
      <x:c r="I293" s="38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293" s="38" t="str">
        <x:v>art_delivery/nm_v2/references/</x:v>
      </x:c>
      <x:c r="K293" s="45" t="str">
        <x:v>待生成</x:v>
      </x:c>
      <x:c r="L293" s="38" t="str">
        <x:v>hit_recoil</x:v>
      </x:c>
    </x:row>
    <x:row r="294" ht="300" customHeight="1">
      <x:c r="A294" s="37" t="str">
        <x:f>INDEX('素材需求'!$D$8:$D$119,MATCH(B294,'素材需求'!$A$8:$A$119,0))&amp;IF(L294="","","_"&amp;L294)&amp;".png"</x:f>
        <x:v>nm_v2_env_room_surface_contamination_n01_yellow_repeat.png</x:v>
      </x:c>
      <x:c r="B294" s="37" t="str">
        <x:v>ENV_V2_033</x:v>
      </x:c>
      <x:c r="C294" s="37" t="str">
        <x:v>N01暖黄重复框印</x:v>
      </x:c>
      <x:c r="D294" s="37" t="str">
        <x:f>"【交付文件】"&amp;A294&amp;CHAR(10)&amp;"【本张任务】"&amp;C294&amp;CHAR(10)&amp;'生成规范'!$B$8&amp;CHAR(10)&amp;"【单张范围】"&amp;E294&amp;CHAR(10)&amp;"【本组造型约束】"&amp;INDEX('素材需求'!$F$8:$F$119,MATCH(B294,'素材需求'!$A$8:$A$119,0))&amp;CHAR(10)&amp;"【参考对象】"&amp;F294&amp;CHAR(10)&amp;"【制作规格】"&amp;I294&amp;"；"&amp;INDEX('素材需求'!$M$8:$M$119,MATCH(B294,'素材需求'!$A$8:$A$119,0))&amp;CHAR(10)&amp;"【颜色】"&amp;'生成规范'!$B$10&amp;"；"&amp;'生成规范'!$B$11&amp;CHAR(10)&amp;"【输出规则】"&amp;'生成规范'!$B$12&amp;" 后处理对齐尺寸与轴点；交付用途："&amp;H294&amp;CHAR(10)&amp;"【禁止项】"&amp;'生成规范'!$B$9&amp;"；"&amp;INDEX('素材需求'!$N$8:$N$119,MATCH(B294,'素材需求'!$A$8:$A$119,0))</x:f>
        <x:v>【交付文件】nm_v2_env_room_surface_contamination_n01_yellow_repeat.png
【本张任务】N01暖黄重复框印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【单张范围】本次只画1024×768的一层玻璃边角暖黄圆角短框重影，统一为一张稀疏透明贴层，不含文字、奶龙、表情或完整窗口；单件独立PNG，不附其他同组部件、人物或背景。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只为房内观察玻璃或设备屏幕提供一层克制的静态污染载体。每张主体在边角或边缘，至少70%画布透明，中心实体与工作位净空。N01暖黄重复圆角影；N02灰粉/异常红断裂短框；N03红橙粉白直播角纹；N04黄橙通知分隔条；N05浅蓝粉白软波纹。所有动态评论、词语、数字、头像和弹幕由独立UI/VFX模块产生，不烘进本环境层。
【参考对象】透明玻璃上的稀疏投影界面残影：暖黄圆角重复框、情绪评论短框、直播界面角纹、通知分隔线和柔色情绪波纹；参考边角附着方式，不画可读文字或完整UI。只参考结构，按本版色板绘制为二维正交侧视素材，不照搬对象的原配色、品牌或文字。
【制作规格】1024×768 px；单张RGBA透明PNG，sRGB，8bit；至少70%画布完全透明，污染贴层保留Alpha。；左上(0,0)；针对目标玻璃/屏面的裁切矩形另记，不能直接罩整间房。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94" s="37" t="str">
        <x:v>本次只画1024×768的一层玻璃边角暖黄圆角短框重影，统一为一张稀疏透明贴层，不含文字、奶龙、表情或完整窗口；单件独立PNG，不附其他同组部件、人物或背景。</x:v>
      </x:c>
      <x:c r="F294" s="37" t="str">
        <x:f>INDEX('素材需求'!$G$8:$G$119,MATCH(B294,'素材需求'!$A$8:$A$119,0))</x:f>
        <x:v>透明玻璃上的稀疏投影界面残影：暖黄圆角重复框、情绪评论短框、直播界面角纹、通知分隔线和柔色情绪波纹；参考边角附着方式，不画可读文字或完整UI。只参考结构，按本版色板绘制为二维正交侧视素材，不照搬对象的原配色、品牌或文字。</x:v>
      </x:c>
      <x:c r="G294" s="37" t="str">
        <x:f>INDEX('素材需求'!$B$8:$B$119,MATCH(B294,'素材需求'!$A$8:$A$119,0))</x:f>
        <x:v>P1局部污染</x:v>
      </x:c>
      <x:c r="H294" s="37" t="str">
        <x:v>游戏拆件／贴图</x:v>
      </x:c>
      <x:c r="I294" s="37" t="str">
        <x:v>1024×768 px；单张RGBA透明PNG，sRGB，8bit；至少70%画布完全透明，污染贴层保留Alpha。</x:v>
      </x:c>
      <x:c r="J294" s="37" t="str">
        <x:v>art_delivery/nm_v2/environment/</x:v>
      </x:c>
      <x:c r="K294" s="45" t="str">
        <x:v>待生成</x:v>
      </x:c>
      <x:c r="L294" s="37" t="str">
        <x:v>n01_yellow_repeat</x:v>
      </x:c>
    </x:row>
    <x:row r="295" ht="300" customHeight="1">
      <x:c r="A295" s="38" t="str">
        <x:f>INDEX('素材需求'!$D$8:$D$119,MATCH(B295,'素材需求'!$A$8:$A$119,0))&amp;IF(L295="","","_"&amp;L295)&amp;".png"</x:f>
        <x:v>nm_v2_env_room_surface_contamination_n02_emotion_fragments.png</x:v>
      </x:c>
      <x:c r="B295" s="38" t="str">
        <x:v>ENV_V2_033</x:v>
      </x:c>
      <x:c r="C295" s="38" t="str">
        <x:v>N02情绪短框裂片</x:v>
      </x:c>
      <x:c r="D295" s="38" t="str">
        <x:f>"【交付文件】"&amp;A295&amp;CHAR(10)&amp;"【本张任务】"&amp;C295&amp;CHAR(10)&amp;'生成规范'!$B$8&amp;CHAR(10)&amp;"【单张范围】"&amp;E295&amp;CHAR(10)&amp;"【本组造型约束】"&amp;INDEX('素材需求'!$F$8:$F$119,MATCH(B295,'素材需求'!$A$8:$A$119,0))&amp;CHAR(10)&amp;"【参考对象】"&amp;F295&amp;CHAR(10)&amp;"【制作规格】"&amp;I295&amp;"；"&amp;INDEX('素材需求'!$M$8:$M$119,MATCH(B295,'素材需求'!$A$8:$A$119,0))&amp;CHAR(10)&amp;"【颜色】"&amp;'生成规范'!$B$10&amp;"；"&amp;'生成规范'!$B$11&amp;CHAR(10)&amp;"【输出规则】"&amp;'生成规范'!$B$12&amp;" 后处理对齐尺寸与轴点；交付用途："&amp;H295&amp;CHAR(10)&amp;"【禁止项】"&amp;'生成规范'!$B$9&amp;"；"&amp;INDEX('素材需求'!$N$8:$N$119,MATCH(B295,'素材需求'!$A$8:$A$119,0))</x:f>
        <x:v>【交付文件】nm_v2_env_room_surface_contamination_n02_emotion_fragments.png
【本张任务】N02情绪短框裂片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【单张范围】本次只画1024×768的一层灰粉与少量异常红角部短线框碎片，表达争论插入感，不含评论文字、猫、血或墙裂纹；单件独立PNG，不附其他同组部件、人物或背景。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只为房内观察玻璃或设备屏幕提供一层克制的静态污染载体。每张主体在边角或边缘，至少70%画布透明，中心实体与工作位净空。N01暖黄重复圆角影；N02灰粉/异常红断裂短框；N03红橙粉白直播角纹；N04黄橙通知分隔条；N05浅蓝粉白软波纹。所有动态评论、词语、数字、头像和弹幕由独立UI/VFX模块产生，不烘进本环境层。
【参考对象】透明玻璃上的稀疏投影界面残影：暖黄圆角重复框、情绪评论短框、直播界面角纹、通知分隔线和柔色情绪波纹；参考边角附着方式，不画可读文字或完整UI。只参考结构，按本版色板绘制为二维正交侧视素材，不照搬对象的原配色、品牌或文字。
【制作规格】1024×768 px；单张RGBA透明PNG，sRGB，8bit；至少70%画布完全透明，污染贴层保留Alpha。；左上(0,0)；针对目标玻璃/屏面的裁切矩形另记，不能直接罩整间房。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95" s="38" t="str">
        <x:v>本次只画1024×768的一层灰粉与少量异常红角部短线框碎片，表达争论插入感，不含评论文字、猫、血或墙裂纹；单件独立PNG，不附其他同组部件、人物或背景。</x:v>
      </x:c>
      <x:c r="F295" s="38" t="str">
        <x:f>INDEX('素材需求'!$G$8:$G$119,MATCH(B295,'素材需求'!$A$8:$A$119,0))</x:f>
        <x:v>透明玻璃上的稀疏投影界面残影：暖黄圆角重复框、情绪评论短框、直播界面角纹、通知分隔线和柔色情绪波纹；参考边角附着方式，不画可读文字或完整UI。只参考结构，按本版色板绘制为二维正交侧视素材，不照搬对象的原配色、品牌或文字。</x:v>
      </x:c>
      <x:c r="G295" s="38" t="str">
        <x:f>INDEX('素材需求'!$B$8:$B$119,MATCH(B295,'素材需求'!$A$8:$A$119,0))</x:f>
        <x:v>P1局部污染</x:v>
      </x:c>
      <x:c r="H295" s="38" t="str">
        <x:v>游戏拆件／贴图</x:v>
      </x:c>
      <x:c r="I295" s="38" t="str">
        <x:v>1024×768 px；单张RGBA透明PNG，sRGB，8bit；至少70%画布完全透明，污染贴层保留Alpha。</x:v>
      </x:c>
      <x:c r="J295" s="38" t="str">
        <x:v>art_delivery/nm_v2/environment/</x:v>
      </x:c>
      <x:c r="K295" s="45" t="str">
        <x:v>待生成</x:v>
      </x:c>
      <x:c r="L295" s="38" t="str">
        <x:v>n02_emotion_fragments</x:v>
      </x:c>
    </x:row>
    <x:row r="296" ht="300" customHeight="1">
      <x:c r="A296" s="37" t="str">
        <x:f>INDEX('素材需求'!$D$8:$D$119,MATCH(B296,'素材需求'!$A$8:$A$119,0))&amp;IF(L296="","","_"&amp;L296)&amp;".png"</x:f>
        <x:v>nm_v2_env_room_surface_contamination_n03_live_corner.png</x:v>
      </x:c>
      <x:c r="B296" s="37" t="str">
        <x:v>ENV_V2_033</x:v>
      </x:c>
      <x:c r="C296" s="37" t="str">
        <x:v>N03直播界面角纹</x:v>
      </x:c>
      <x:c r="D296" s="37" t="str">
        <x:f>"【交付文件】"&amp;A296&amp;CHAR(10)&amp;"【本张任务】"&amp;C296&amp;CHAR(10)&amp;'生成规范'!$B$8&amp;CHAR(10)&amp;"【单张范围】"&amp;E296&amp;CHAR(10)&amp;"【本组造型约束】"&amp;INDEX('素材需求'!$F$8:$F$119,MATCH(B296,'素材需求'!$A$8:$A$119,0))&amp;CHAR(10)&amp;"【参考对象】"&amp;F296&amp;CHAR(10)&amp;"【制作规格】"&amp;I296&amp;"；"&amp;INDEX('素材需求'!$M$8:$M$119,MATCH(B296,'素材需求'!$A$8:$A$119,0))&amp;CHAR(10)&amp;"【颜色】"&amp;'生成规范'!$B$10&amp;"；"&amp;'生成规范'!$B$11&amp;CHAR(10)&amp;"【输出规则】"&amp;'生成规范'!$B$12&amp;" 后处理对齐尺寸与轴点；交付用途："&amp;H296&amp;CHAR(10)&amp;"【禁止项】"&amp;'生成规范'!$B$9&amp;"；"&amp;INDEX('素材需求'!$N$8:$N$119,MATCH(B296,'素材需求'!$A$8:$A$119,0))</x:f>
        <x:v>【交付文件】nm_v2_env_room_surface_contamination_n03_live_corner.png
【本张任务】N03直播界面角纹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【单张范围】本次只画1024×768的一层红橙/粉白细角纹与浅推荐卡轮廓残影，局限边缘，不含直播数字、爱心粒子、狗或完整UI；单件独立PNG，不附其他同组部件、人物或背景。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只为房内观察玻璃或设备屏幕提供一层克制的静态污染载体。每张主体在边角或边缘，至少70%画布透明，中心实体与工作位净空。N01暖黄重复圆角影；N02灰粉/异常红断裂短框；N03红橙粉白直播角纹；N04黄橙通知分隔条；N05浅蓝粉白软波纹。所有动态评论、词语、数字、头像和弹幕由独立UI/VFX模块产生，不烘进本环境层。
【参考对象】透明玻璃上的稀疏投影界面残影：暖黄圆角重复框、情绪评论短框、直播界面角纹、通知分隔线和柔色情绪波纹；参考边角附着方式，不画可读文字或完整UI。只参考结构，按本版色板绘制为二维正交侧视素材，不照搬对象的原配色、品牌或文字。
【制作规格】1024×768 px；单张RGBA透明PNG，sRGB，8bit；至少70%画布完全透明，污染贴层保留Alpha。；左上(0,0)；针对目标玻璃/屏面的裁切矩形另记，不能直接罩整间房。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96" s="37" t="str">
        <x:v>本次只画1024×768的一层红橙/粉白细角纹与浅推荐卡轮廓残影，局限边缘，不含直播数字、爱心粒子、狗或完整UI；单件独立PNG，不附其他同组部件、人物或背景。</x:v>
      </x:c>
      <x:c r="F296" s="37" t="str">
        <x:f>INDEX('素材需求'!$G$8:$G$119,MATCH(B296,'素材需求'!$A$8:$A$119,0))</x:f>
        <x:v>透明玻璃上的稀疏投影界面残影：暖黄圆角重复框、情绪评论短框、直播界面角纹、通知分隔线和柔色情绪波纹；参考边角附着方式，不画可读文字或完整UI。只参考结构，按本版色板绘制为二维正交侧视素材，不照搬对象的原配色、品牌或文字。</x:v>
      </x:c>
      <x:c r="G296" s="37" t="str">
        <x:f>INDEX('素材需求'!$B$8:$B$119,MATCH(B296,'素材需求'!$A$8:$A$119,0))</x:f>
        <x:v>P1局部污染</x:v>
      </x:c>
      <x:c r="H296" s="37" t="str">
        <x:v>游戏拆件／贴图</x:v>
      </x:c>
      <x:c r="I296" s="37" t="str">
        <x:v>1024×768 px；单张RGBA透明PNG，sRGB，8bit；至少70%画布完全透明，污染贴层保留Alpha。</x:v>
      </x:c>
      <x:c r="J296" s="37" t="str">
        <x:v>art_delivery/nm_v2/environment/</x:v>
      </x:c>
      <x:c r="K296" s="45" t="str">
        <x:v>待生成</x:v>
      </x:c>
      <x:c r="L296" s="37" t="str">
        <x:v>n03_live_corner</x:v>
      </x:c>
    </x:row>
    <x:row r="297" ht="300" customHeight="1">
      <x:c r="A297" s="38" t="str">
        <x:f>INDEX('素材需求'!$D$8:$D$119,MATCH(B297,'素材需求'!$A$8:$A$119,0))&amp;IF(L297="","","_"&amp;L297)&amp;".png"</x:f>
        <x:v>nm_v2_env_room_surface_contamination_n04_notification_strips.png</x:v>
      </x:c>
      <x:c r="B297" s="38" t="str">
        <x:v>ENV_V2_033</x:v>
      </x:c>
      <x:c r="C297" s="38" t="str">
        <x:v>N04通知条边缘印</x:v>
      </x:c>
      <x:c r="D297" s="38" t="str">
        <x:f>"【交付文件】"&amp;A297&amp;CHAR(10)&amp;"【本张任务】"&amp;C297&amp;CHAR(10)&amp;'生成规范'!$B$8&amp;CHAR(10)&amp;"【单张范围】"&amp;E297&amp;CHAR(10)&amp;"【本组造型约束】"&amp;INDEX('素材需求'!$F$8:$F$119,MATCH(B297,'素材需求'!$A$8:$A$119,0))&amp;CHAR(10)&amp;"【参考对象】"&amp;F297&amp;CHAR(10)&amp;"【制作规格】"&amp;I297&amp;"；"&amp;INDEX('素材需求'!$M$8:$M$119,MATCH(B297,'素材需求'!$A$8:$A$119,0))&amp;CHAR(10)&amp;"【颜色】"&amp;'生成规范'!$B$10&amp;"；"&amp;'生成规范'!$B$11&amp;CHAR(10)&amp;"【输出规则】"&amp;'生成规范'!$B$12&amp;" 后处理对齐尺寸与轴点；交付用途："&amp;H297&amp;CHAR(10)&amp;"【禁止项】"&amp;'生成规范'!$B$9&amp;"；"&amp;INDEX('素材需求'!$N$8:$N$119,MATCH(B297,'素材需求'!$A$8:$A$119,0))</x:f>
        <x:v>【交付文件】nm_v2_env_room_surface_contamination_n04_notification_strips.png
【本张任务】N04通知条边缘印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【单张范围】本次只画1024×768的一层黄橙通知分隔线与短波形底纹，集中上边角，不含叮咚文字、进度数字、鸡或滚动动画；单件独立PNG，不附其他同组部件、人物或背景。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只为房内观察玻璃或设备屏幕提供一层克制的静态污染载体。每张主体在边角或边缘，至少70%画布透明，中心实体与工作位净空。N01暖黄重复圆角影；N02灰粉/异常红断裂短框；N03红橙粉白直播角纹；N04黄橙通知分隔条；N05浅蓝粉白软波纹。所有动态评论、词语、数字、头像和弹幕由独立UI/VFX模块产生，不烘进本环境层。
【参考对象】透明玻璃上的稀疏投影界面残影：暖黄圆角重复框、情绪评论短框、直播界面角纹、通知分隔线和柔色情绪波纹；参考边角附着方式，不画可读文字或完整UI。只参考结构，按本版色板绘制为二维正交侧视素材，不照搬对象的原配色、品牌或文字。
【制作规格】1024×768 px；单张RGBA透明PNG，sRGB，8bit；至少70%画布完全透明，污染贴层保留Alpha。；左上(0,0)；针对目标玻璃/屏面的裁切矩形另记，不能直接罩整间房。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97" s="38" t="str">
        <x:v>本次只画1024×768的一层黄橙通知分隔线与短波形底纹，集中上边角，不含叮咚文字、进度数字、鸡或滚动动画；单件独立PNG，不附其他同组部件、人物或背景。</x:v>
      </x:c>
      <x:c r="F297" s="38" t="str">
        <x:f>INDEX('素材需求'!$G$8:$G$119,MATCH(B297,'素材需求'!$A$8:$A$119,0))</x:f>
        <x:v>透明玻璃上的稀疏投影界面残影：暖黄圆角重复框、情绪评论短框、直播界面角纹、通知分隔线和柔色情绪波纹；参考边角附着方式，不画可读文字或完整UI。只参考结构，按本版色板绘制为二维正交侧视素材，不照搬对象的原配色、品牌或文字。</x:v>
      </x:c>
      <x:c r="G297" s="38" t="str">
        <x:f>INDEX('素材需求'!$B$8:$B$119,MATCH(B297,'素材需求'!$A$8:$A$119,0))</x:f>
        <x:v>P1局部污染</x:v>
      </x:c>
      <x:c r="H297" s="38" t="str">
        <x:v>游戏拆件／贴图</x:v>
      </x:c>
      <x:c r="I297" s="38" t="str">
        <x:v>1024×768 px；单张RGBA透明PNG，sRGB，8bit；至少70%画布完全透明，污染贴层保留Alpha。</x:v>
      </x:c>
      <x:c r="J297" s="38" t="str">
        <x:v>art_delivery/nm_v2/environment/</x:v>
      </x:c>
      <x:c r="K297" s="45" t="str">
        <x:v>待生成</x:v>
      </x:c>
      <x:c r="L297" s="38" t="str">
        <x:v>n04_notification_strips</x:v>
      </x:c>
    </x:row>
    <x:row r="298" ht="300" customHeight="1">
      <x:c r="A298" s="37" t="str">
        <x:f>INDEX('素材需求'!$D$8:$D$119,MATCH(B298,'素材需求'!$A$8:$A$119,0))&amp;IF(L298="","","_"&amp;L298)&amp;".png"</x:f>
        <x:v>nm_v2_env_room_surface_contamination_n05_soft_noise.png</x:v>
      </x:c>
      <x:c r="B298" s="37" t="str">
        <x:v>ENV_V2_033</x:v>
      </x:c>
      <x:c r="C298" s="37" t="str">
        <x:v>N05柔色情绪表面纹</x:v>
      </x:c>
      <x:c r="D298" s="37" t="str">
        <x:f>"【交付文件】"&amp;A298&amp;CHAR(10)&amp;"【本张任务】"&amp;C298&amp;CHAR(10)&amp;'生成规范'!$B$8&amp;CHAR(10)&amp;"【单张范围】"&amp;E298&amp;CHAR(10)&amp;"【本组造型约束】"&amp;INDEX('素材需求'!$F$8:$F$119,MATCH(B298,'素材需求'!$A$8:$A$119,0))&amp;CHAR(10)&amp;"【参考对象】"&amp;F298&amp;CHAR(10)&amp;"【制作规格】"&amp;I298&amp;"；"&amp;INDEX('素材需求'!$M$8:$M$119,MATCH(B298,'素材需求'!$A$8:$A$119,0))&amp;CHAR(10)&amp;"【颜色】"&amp;'生成规范'!$B$10&amp;"；"&amp;'生成规范'!$B$11&amp;CHAR(10)&amp;"【输出规则】"&amp;'生成规范'!$B$12&amp;" 后处理对齐尺寸与轴点；交付用途："&amp;H298&amp;CHAR(10)&amp;"【禁止项】"&amp;'生成规范'!$B$9&amp;"；"&amp;INDEX('素材需求'!$N$8:$N$119,MATCH(B298,'素材需求'!$A$8:$A$119,0))</x:f>
        <x:v>【交付文件】nm_v2_env_room_surface_contamination_n05_soft_noise.png
【本张任务】N05柔色情绪表面纹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【单张范围】本次只画1024×768的一层浅蓝粉白柔和断续波纹，边缘稀疏、中央透明，不含拟声字、婴儿、企鹅或实心雾；单件独立PNG，不附其他同组部件、人物或背景。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只为房内观察玻璃或设备屏幕提供一层克制的静态污染载体。每张主体在边角或边缘，至少70%画布透明，中心实体与工作位净空。N01暖黄重复圆角影；N02灰粉/异常红断裂短框；N03红橙粉白直播角纹；N04黄橙通知分隔条；N05浅蓝粉白软波纹。所有动态评论、词语、数字、头像和弹幕由独立UI/VFX模块产生，不烘进本环境层。
【参考对象】透明玻璃上的稀疏投影界面残影：暖黄圆角重复框、情绪评论短框、直播界面角纹、通知分隔线和柔色情绪波纹；参考边角附着方式，不画可读文字或完整UI。只参考结构，按本版色板绘制为二维正交侧视素材，不照搬对象的原配色、品牌或文字。
【制作规格】1024×768 px；单张RGBA透明PNG，sRGB，8bit；至少70%画布完全透明，污染贴层保留Alpha。；左上(0,0)；针对目标玻璃/屏面的裁切矩形另记，不能直接罩整间房。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298" s="37" t="str">
        <x:v>本次只画1024×768的一层浅蓝粉白柔和断续波纹，边缘稀疏、中央透明，不含拟声字、婴儿、企鹅或实心雾；单件独立PNG，不附其他同组部件、人物或背景。</x:v>
      </x:c>
      <x:c r="F298" s="37" t="str">
        <x:f>INDEX('素材需求'!$G$8:$G$119,MATCH(B298,'素材需求'!$A$8:$A$119,0))</x:f>
        <x:v>透明玻璃上的稀疏投影界面残影：暖黄圆角重复框、情绪评论短框、直播界面角纹、通知分隔线和柔色情绪波纹；参考边角附着方式，不画可读文字或完整UI。只参考结构，按本版色板绘制为二维正交侧视素材，不照搬对象的原配色、品牌或文字。</x:v>
      </x:c>
      <x:c r="G298" s="37" t="str">
        <x:f>INDEX('素材需求'!$B$8:$B$119,MATCH(B298,'素材需求'!$A$8:$A$119,0))</x:f>
        <x:v>P1局部污染</x:v>
      </x:c>
      <x:c r="H298" s="37" t="str">
        <x:v>游戏拆件／贴图</x:v>
      </x:c>
      <x:c r="I298" s="37" t="str">
        <x:v>1024×768 px；单张RGBA透明PNG，sRGB，8bit；至少70%画布完全透明，污染贴层保留Alpha。</x:v>
      </x:c>
      <x:c r="J298" s="37" t="str">
        <x:v>art_delivery/nm_v2/environment/</x:v>
      </x:c>
      <x:c r="K298" s="45" t="str">
        <x:v>待生成</x:v>
      </x:c>
      <x:c r="L298" s="37" t="str">
        <x:v>n05_soft_noise</x:v>
      </x:c>
    </x:row>
    <x:row r="299" ht="243" customHeight="1">
      <x:c r="A299" s="38" t="str">
        <x:f>INDEX('素材需求'!$D$8:$D$119,MATCH(B299,'素材需求'!$A$8:$A$119,0))&amp;IF(L299="","","_"&amp;L299)&amp;".png"</x:f>
        <x:v>nm_v2_vfx_local_signal_tear_key.png</x:v>
      </x:c>
      <x:c r="B299" s="38" t="str">
        <x:v>NM_V2_FX_005</x:v>
      </x:c>
      <x:c r="C299" s="38" t="str">
        <x:v>局部信号撕裂关键图</x:v>
      </x:c>
      <x:c r="D299" s="38" t="str">
        <x:f>"【交付文件】"&amp;A299&amp;CHAR(10)&amp;"【本张任务】"&amp;C299&amp;CHAR(10)&amp;'生成规范'!$B$8&amp;CHAR(10)&amp;"【单张范围】"&amp;E299&amp;CHAR(10)&amp;"【本组造型约束】"&amp;INDEX('素材需求'!$F$8:$F$119,MATCH(B299,'素材需求'!$A$8:$A$119,0))&amp;CHAR(10)&amp;"【参考对象】"&amp;F299&amp;CHAR(10)&amp;"【制作规格】"&amp;I299&amp;"；"&amp;INDEX('素材需求'!$M$8:$M$119,MATCH(B299,'素材需求'!$A$8:$A$119,0))&amp;CHAR(10)&amp;"【颜色】"&amp;'生成规范'!$B$10&amp;"；"&amp;'生成规范'!$B$11&amp;CHAR(10)&amp;"【输出规则】"&amp;'生成规范'!$B$12&amp;" 后处理对齐尺寸与轴点；交付用途："&amp;H299&amp;CHAR(10)&amp;"【禁止项】"&amp;'生成规范'!$B$9&amp;"；"&amp;INDEX('素材需求'!$N$8:$N$119,MATCH(B299,'素材需求'!$A$8:$A$119,0))</x:f>
        <x:v>【交付文件】nm_v2_vfx_local_signal_tear_key.png
【本张任务】局部信号撕裂关键图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【单张范围】本次只交一张独立PNG：一条透明背景的视频压缩错位边，只含小矩形与短扫描线。不拼图，不含其他单元。
【本组造型约束】一段小型视频信号错位片：少量矩形压缩块、断续短扫描线、窄RGB边缘偏移，背景透明；中性色为主，异常色由程序少量着色。可在不同房间边缘复用，无整屏破裂、长噪声墙或具体平台标题。
【参考对象】短视频信号的局部压缩碎块与小段RGB错位边；只参考互联网故障感，不做完整播放界面或全屏噪声。
【制作规格】1024×256 px；仅单条横向片段；透明PNG（RGBA）；一单元一张独立图，非多格sheet。；局部房间边缘中点(0.5,0.5)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299" s="38" t="str">
        <x:v>本次只交一张独立PNG：一条透明背景的视频压缩错位边，只含小矩形与短扫描线。不拼图，不含其他单元。</x:v>
      </x:c>
      <x:c r="F299" s="38" t="str">
        <x:f>INDEX('素材需求'!$G$8:$G$119,MATCH(B299,'素材需求'!$A$8:$A$119,0))</x:f>
        <x:v>短视频信号的局部压缩碎块与小段RGB错位边；只参考互联网故障感，不做完整播放界面或全屏噪声。</x:v>
      </x:c>
      <x:c r="G299" s="38" t="str">
        <x:f>INDEX('素材需求'!$B$8:$B$119,MATCH(B299,'素材需求'!$A$8:$A$119,0))</x:f>
        <x:v>P1局部污染</x:v>
      </x:c>
      <x:c r="H299" s="38" t="str">
        <x:v>游戏拆件／贴图</x:v>
      </x:c>
      <x:c r="I299" s="38" t="str">
        <x:v>1024×256 px；仅单条横向片段；透明PNG（RGBA）；一单元一张独立图，非多格sheet。</x:v>
      </x:c>
      <x:c r="J299" s="38" t="str">
        <x:v>art_delivery/nm_v2/vfx/</x:v>
      </x:c>
      <x:c r="K299" s="45" t="str">
        <x:v>待生成</x:v>
      </x:c>
      <x:c r="L299" s="38" t="str">
        <x:v>key</x:v>
      </x:c>
    </x:row>
    <x:row r="300" ht="257.25" customHeight="1">
      <x:c r="A300" s="37" t="str">
        <x:f>INDEX('素材需求'!$D$8:$D$119,MATCH(B300,'素材需求'!$A$8:$A$119,0))&amp;IF(L300="","","_"&amp;L300)&amp;".png"</x:f>
        <x:v>nm_v2_poll_n01_repeat_comment_blank.png</x:v>
      </x:c>
      <x:c r="B300" s="37" t="str">
        <x:v>NM_V2_POLL_N01</x:v>
      </x:c>
      <x:c r="C300" s="37" t="str">
        <x:v>奶龙空白圆角评论</x:v>
      </x:c>
      <x:c r="D300" s="37" t="str">
        <x:f>"【交付文件】"&amp;A300&amp;CHAR(10)&amp;"【本张任务】"&amp;C300&amp;CHAR(10)&amp;'生成规范'!$B$8&amp;CHAR(10)&amp;"【单张范围】"&amp;E300&amp;CHAR(10)&amp;"【本组造型约束】"&amp;INDEX('素材需求'!$F$8:$F$119,MATCH(B300,'素材需求'!$A$8:$A$119,0))&amp;CHAR(10)&amp;"【参考对象】"&amp;F300&amp;CHAR(10)&amp;"【制作规格】"&amp;I300&amp;"；"&amp;INDEX('素材需求'!$M$8:$M$119,MATCH(B300,'素材需求'!$A$8:$A$119,0))&amp;CHAR(10)&amp;"【颜色】"&amp;'生成规范'!$B$10&amp;"；"&amp;'生成规范'!$B$11&amp;CHAR(10)&amp;"【输出规则】"&amp;'生成规范'!$B$12&amp;" 后处理对齐尺寸与轴点；交付用途："&amp;H300&amp;CHAR(10)&amp;"【禁止项】"&amp;'生成规范'!$B$9&amp;"；"&amp;INDEX('素材需求'!$N$8:$N$119,MATCH(B300,'素材需求'!$A$8:$A$119,0))</x:f>
        <x:v>【交付文件】nm_v2_poll_n01_repeat_comment_blank.png
【本张任务】奶龙空白圆角评论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【单张范围】本次只交一张独立PNG：一个暖黄奶白的软圆角空白评论气泡，不含任何表情字或台词。不拼图，不含其他单元。
【本组造型约束】暖黄#FFD84D与奶白主色；圆角、软边、轻柔却重复的低龄内容平台语汇。两张母版：圆角评论气泡与空白推荐卡。推荐卡仅含一个空缩略图窗、空标题带，不能画完整奶龙缩略图或播放数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【参考对象】奶龙的暖黄奶白、圆润低龄内容气质；对应软圆角评论气泡与无字推荐卡，亲和但重复形成压迫。
【制作规格】每张1024×512 px；内容区至少70%留白；透明PNG（RGBA）；一单元一张独立图，非多格sheet。；气泡尾端/卡片左边缘，由程序锚定N01房间局部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00" s="37" t="str">
        <x:v>本次只交一张独立PNG：一个暖黄奶白的软圆角空白评论气泡，不含任何表情字或台词。不拼图，不含其他单元。</x:v>
      </x:c>
      <x:c r="F300" s="37" t="str">
        <x:f>INDEX('素材需求'!$G$8:$G$119,MATCH(B300,'素材需求'!$A$8:$A$119,0))</x:f>
        <x:v>奶龙的暖黄奶白、圆润低龄内容气质；对应软圆角评论气泡与无字推荐卡，亲和但重复形成压迫。</x:v>
      </x:c>
      <x:c r="G300" s="37" t="str">
        <x:f>INDEX('素材需求'!$B$8:$B$119,MATCH(B300,'素材需求'!$A$8:$A$119,0))</x:f>
        <x:v>P1局部污染</x:v>
      </x:c>
      <x:c r="H300" s="37" t="str">
        <x:v>游戏拆件／贴图</x:v>
      </x:c>
      <x:c r="I300" s="37" t="str">
        <x:v>每张1024×512 px；内容区至少70%留白；透明PNG（RGBA）；一单元一张独立图，非多格sheet。</x:v>
      </x:c>
      <x:c r="J300" s="37" t="str">
        <x:v>art_delivery/nm_v2/vfx/</x:v>
      </x:c>
      <x:c r="K300" s="45" t="str">
        <x:v>待生成</x:v>
      </x:c>
      <x:c r="L300" s="37" t="str">
        <x:v>comment_blank</x:v>
      </x:c>
    </x:row>
    <x:row r="301" ht="257.25" customHeight="1">
      <x:c r="A301" s="38" t="str">
        <x:f>INDEX('素材需求'!$D$8:$D$119,MATCH(B301,'素材需求'!$A$8:$A$119,0))&amp;IF(L301="","","_"&amp;L301)&amp;".png"</x:f>
        <x:v>nm_v2_poll_n01_repeat_recommend_blank.png</x:v>
      </x:c>
      <x:c r="B301" s="38" t="str">
        <x:v>NM_V2_POLL_N01</x:v>
      </x:c>
      <x:c r="C301" s="38" t="str">
        <x:v>奶龙空白推荐卡</x:v>
      </x:c>
      <x:c r="D301" s="38" t="str">
        <x:f>"【交付文件】"&amp;A301&amp;CHAR(10)&amp;"【本张任务】"&amp;C301&amp;CHAR(10)&amp;'生成规范'!$B$8&amp;CHAR(10)&amp;"【单张范围】"&amp;E301&amp;CHAR(10)&amp;"【本组造型约束】"&amp;INDEX('素材需求'!$F$8:$F$119,MATCH(B301,'素材需求'!$A$8:$A$119,0))&amp;CHAR(10)&amp;"【参考对象】"&amp;F301&amp;CHAR(10)&amp;"【制作规格】"&amp;I301&amp;"；"&amp;INDEX('素材需求'!$M$8:$M$119,MATCH(B301,'素材需求'!$A$8:$A$119,0))&amp;CHAR(10)&amp;"【颜色】"&amp;'生成规范'!$B$10&amp;"；"&amp;'生成规范'!$B$11&amp;CHAR(10)&amp;"【输出规则】"&amp;'生成规范'!$B$12&amp;" 后处理对齐尺寸与轴点；交付用途："&amp;H301&amp;CHAR(10)&amp;"【禁止项】"&amp;'生成规范'!$B$9&amp;"；"&amp;INDEX('素材需求'!$N$8:$N$119,MATCH(B301,'素材需求'!$A$8:$A$119,0))</x:f>
        <x:v>【交付文件】nm_v2_poll_n01_repeat_recommend_blank.png
【本张任务】奶龙空白推荐卡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【单张范围】本次只交一张独立PNG：一张暖黄色空推荐卡，缩略图窗和标题带都留白，不含播放按钮数字或角色。不拼图，不含其他单元。
【本组造型约束】暖黄#FFD84D与奶白主色；圆角、软边、轻柔却重复的低龄内容平台语汇。两张母版：圆角评论气泡与空白推荐卡。推荐卡仅含一个空缩略图窗、空标题带，不能画完整奶龙缩略图或播放数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【参考对象】奶龙的暖黄奶白、圆润低龄内容气质；对应软圆角评论气泡与无字推荐卡，亲和但重复形成压迫。
【制作规格】每张1024×512 px；内容区至少70%留白；透明PNG（RGBA）；一单元一张独立图，非多格sheet。；气泡尾端/卡片左边缘，由程序锚定N01房间局部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01" s="38" t="str">
        <x:v>本次只交一张独立PNG：一张暖黄色空推荐卡，缩略图窗和标题带都留白，不含播放按钮数字或角色。不拼图，不含其他单元。</x:v>
      </x:c>
      <x:c r="F301" s="38" t="str">
        <x:f>INDEX('素材需求'!$G$8:$G$119,MATCH(B301,'素材需求'!$A$8:$A$119,0))</x:f>
        <x:v>奶龙的暖黄奶白、圆润低龄内容气质；对应软圆角评论气泡与无字推荐卡，亲和但重复形成压迫。</x:v>
      </x:c>
      <x:c r="G301" s="38" t="str">
        <x:f>INDEX('素材需求'!$B$8:$B$119,MATCH(B301,'素材需求'!$A$8:$A$119,0))</x:f>
        <x:v>P1局部污染</x:v>
      </x:c>
      <x:c r="H301" s="38" t="str">
        <x:v>游戏拆件／贴图</x:v>
      </x:c>
      <x:c r="I301" s="38" t="str">
        <x:v>每张1024×512 px；内容区至少70%留白；透明PNG（RGBA）；一单元一张独立图，非多格sheet。</x:v>
      </x:c>
      <x:c r="J301" s="38" t="str">
        <x:v>art_delivery/nm_v2/vfx/</x:v>
      </x:c>
      <x:c r="K301" s="45" t="str">
        <x:v>待生成</x:v>
      </x:c>
      <x:c r="L301" s="38" t="str">
        <x:v>recommend_blank</x:v>
      </x:c>
    </x:row>
    <x:row r="302" ht="257.25" customHeight="1">
      <x:c r="A302" s="37" t="str">
        <x:f>INDEX('素材需求'!$D$8:$D$119,MATCH(B302,'素材需求'!$A$8:$A$119,0))&amp;IF(L302="","","_"&amp;L302)&amp;".png"</x:f>
        <x:v>nm_v2_poll_n02_argument_comment_blank.png</x:v>
      </x:c>
      <x:c r="B302" s="37" t="str">
        <x:v>NM_V2_POLL_N02</x:v>
      </x:c>
      <x:c r="C302" s="37" t="str">
        <x:v>耄耋空白争吵气泡</x:v>
      </x:c>
      <x:c r="D302" s="37" t="str">
        <x:f>"【交付文件】"&amp;A302&amp;CHAR(10)&amp;"【本张任务】"&amp;C302&amp;CHAR(10)&amp;'生成规范'!$B$8&amp;CHAR(10)&amp;"【单张范围】"&amp;E302&amp;CHAR(10)&amp;"【本组造型约束】"&amp;INDEX('素材需求'!$F$8:$F$119,MATCH(B302,'素材需求'!$A$8:$A$119,0))&amp;CHAR(10)&amp;"【参考对象】"&amp;F302&amp;CHAR(10)&amp;"【制作规格】"&amp;I302&amp;"；"&amp;INDEX('素材需求'!$M$8:$M$119,MATCH(B302,'素材需求'!$A$8:$A$119,0))&amp;CHAR(10)&amp;"【颜色】"&amp;'生成规范'!$B$10&amp;"；"&amp;'生成规范'!$B$11&amp;CHAR(10)&amp;"【输出规则】"&amp;'生成规范'!$B$12&amp;" 后处理对齐尺寸与轴点；交付用途："&amp;H302&amp;CHAR(10)&amp;"【禁止项】"&amp;'生成规范'!$B$9&amp;"；"&amp;INDEX('素材需求'!$N$8:$N$119,MATCH(B302,'素材需求'!$A$8:$A$119,0))</x:f>
        <x:v>【交付文件】nm_v2_poll_n02_argument_comment_blank.png
【本张任务】耄耋空白争吵气泡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【单张范围】本次只交一张独立PNG：一个暖灰脏粉尖角评论空框，尾部方向鲜明，无字。不拼图，不含其他单元。
【本组造型约束】暖灰、脏粉与少量异常红#FF5B6E；尖角气泡、短促插入的情绪标签，表现爆炸性发言和争吵感。仅两张空形状，不含脏话、攻击对象、现实用户头像或感叹号文字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【参考对象】耄耋的暖灰脏粉、情绪性爆发气质；对应尖锐争吵气泡与短促斜标签，不含实际用户或攻击性文字。
【制作规格】每张1024×512 px；气泡内空白；透明PNG（RGBA）；一单元一张独立图，非多格sheet。；气泡尖尾/标签中心，按N02局部锚点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02" s="37" t="str">
        <x:v>本次只交一张独立PNG：一个暖灰脏粉尖角评论空框，尾部方向鲜明，无字。不拼图，不含其他单元。</x:v>
      </x:c>
      <x:c r="F302" s="37" t="str">
        <x:f>INDEX('素材需求'!$G$8:$G$119,MATCH(B302,'素材需求'!$A$8:$A$119,0))</x:f>
        <x:v>耄耋的暖灰脏粉、情绪性爆发气质；对应尖锐争吵气泡与短促斜标签，不含实际用户或攻击性文字。</x:v>
      </x:c>
      <x:c r="G302" s="37" t="str">
        <x:f>INDEX('素材需求'!$B$8:$B$119,MATCH(B302,'素材需求'!$A$8:$A$119,0))</x:f>
        <x:v>P1局部污染</x:v>
      </x:c>
      <x:c r="H302" s="37" t="str">
        <x:v>游戏拆件／贴图</x:v>
      </x:c>
      <x:c r="I302" s="37" t="str">
        <x:v>每张1024×512 px；气泡内空白；透明PNG（RGBA）；一单元一张独立图，非多格sheet。</x:v>
      </x:c>
      <x:c r="J302" s="37" t="str">
        <x:v>art_delivery/nm_v2/vfx/</x:v>
      </x:c>
      <x:c r="K302" s="45" t="str">
        <x:v>待生成</x:v>
      </x:c>
      <x:c r="L302" s="37" t="str">
        <x:v>comment_blank</x:v>
      </x:c>
    </x:row>
    <x:row r="303" ht="257.25" customHeight="1">
      <x:c r="A303" s="38" t="str">
        <x:f>INDEX('素材需求'!$D$8:$D$119,MATCH(B303,'素材需求'!$A$8:$A$119,0))&amp;IF(L303="","","_"&amp;L303)&amp;".png"</x:f>
        <x:v>nm_v2_poll_n02_argument_emotion_tag_blank.png</x:v>
      </x:c>
      <x:c r="B303" s="38" t="str">
        <x:v>NM_V2_POLL_N02</x:v>
      </x:c>
      <x:c r="C303" s="38" t="str">
        <x:v>耄耋空白情绪标签</x:v>
      </x:c>
      <x:c r="D303" s="38" t="str">
        <x:f>"【交付文件】"&amp;A303&amp;CHAR(10)&amp;"【本张任务】"&amp;C303&amp;CHAR(10)&amp;'生成规范'!$B$8&amp;CHAR(10)&amp;"【单张范围】"&amp;E303&amp;CHAR(10)&amp;"【本组造型约束】"&amp;INDEX('素材需求'!$F$8:$F$119,MATCH(B303,'素材需求'!$A$8:$A$119,0))&amp;CHAR(10)&amp;"【参考对象】"&amp;F303&amp;CHAR(10)&amp;"【制作规格】"&amp;I303&amp;"；"&amp;INDEX('素材需求'!$M$8:$M$119,MATCH(B303,'素材需求'!$A$8:$A$119,0))&amp;CHAR(10)&amp;"【颜色】"&amp;'生成规范'!$B$10&amp;"；"&amp;'生成规范'!$B$11&amp;CHAR(10)&amp;"【输出规则】"&amp;'生成规范'!$B$12&amp;" 后处理对齐尺寸与轴点；交付用途："&amp;H303&amp;CHAR(10)&amp;"【禁止项】"&amp;'生成规范'!$B$9&amp;"；"&amp;INDEX('素材需求'!$N$8:$N$119,MATCH(B303,'素材需求'!$A$8:$A$119,0))</x:f>
        <x:v>【交付文件】nm_v2_poll_n02_argument_emotion_tag_blank.png
【本张任务】耄耋空白情绪标签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【单张范围】本次只交一张独立PNG：一枚短促倾斜的情绪标签空框，异常红只作边缘强调，无标点字。不拼图，不含其他单元。
【本组造型约束】暖灰、脏粉与少量异常红#FF5B6E；尖角气泡、短促插入的情绪标签，表现爆炸性发言和争吵感。仅两张空形状，不含脏话、攻击对象、现实用户头像或感叹号文字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【参考对象】耄耋的暖灰脏粉、情绪性爆发气质；对应尖锐争吵气泡与短促斜标签，不含实际用户或攻击性文字。
【制作规格】每张1024×512 px；气泡内空白；透明PNG（RGBA）；一单元一张独立图，非多格sheet。；气泡尖尾/标签中心，按N02局部锚点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03" s="38" t="str">
        <x:v>本次只交一张独立PNG：一枚短促倾斜的情绪标签空框，异常红只作边缘强调，无标点字。不拼图，不含其他单元。</x:v>
      </x:c>
      <x:c r="F303" s="38" t="str">
        <x:f>INDEX('素材需求'!$G$8:$G$119,MATCH(B303,'素材需求'!$A$8:$A$119,0))</x:f>
        <x:v>耄耋的暖灰脏粉、情绪性爆发气质；对应尖锐争吵气泡与短促斜标签，不含实际用户或攻击性文字。</x:v>
      </x:c>
      <x:c r="G303" s="38" t="str">
        <x:f>INDEX('素材需求'!$B$8:$B$119,MATCH(B303,'素材需求'!$A$8:$A$119,0))</x:f>
        <x:v>P1局部污染</x:v>
      </x:c>
      <x:c r="H303" s="38" t="str">
        <x:v>游戏拆件／贴图</x:v>
      </x:c>
      <x:c r="I303" s="38" t="str">
        <x:v>每张1024×512 px；气泡内空白；透明PNG（RGBA）；一单元一张独立图，非多格sheet。</x:v>
      </x:c>
      <x:c r="J303" s="38" t="str">
        <x:v>art_delivery/nm_v2/vfx/</x:v>
      </x:c>
      <x:c r="K303" s="45" t="str">
        <x:v>待生成</x:v>
      </x:c>
      <x:c r="L303" s="38" t="str">
        <x:v>emotion_tag_blank</x:v>
      </x:c>
    </x:row>
    <x:row r="304" ht="257.25" customHeight="1">
      <x:c r="A304" s="37" t="str">
        <x:f>INDEX('素材需求'!$D$8:$D$119,MATCH(B304,'素材需求'!$A$8:$A$119,0))&amp;IF(L304="","","_"&amp;L304)&amp;".png"</x:f>
        <x:v>nm_v2_poll_n03_live_live_corner_blank.png</x:v>
      </x:c>
      <x:c r="B304" s="37" t="str">
        <x:v>NM_V2_POLL_N03</x:v>
      </x:c>
      <x:c r="C304" s="37" t="str">
        <x:v>大狗无字直播角标</x:v>
      </x:c>
      <x:c r="D304" s="37" t="str">
        <x:f>"【交付文件】"&amp;A304&amp;CHAR(10)&amp;"【本张任务】"&amp;C304&amp;CHAR(10)&amp;'生成规范'!$B$8&amp;CHAR(10)&amp;"【单张范围】"&amp;E304&amp;CHAR(10)&amp;"【本组造型约束】"&amp;INDEX('素材需求'!$F$8:$F$119,MATCH(B304,'素材需求'!$A$8:$A$119,0))&amp;CHAR(10)&amp;"【参考对象】"&amp;F304&amp;CHAR(10)&amp;"【制作规格】"&amp;I304&amp;"；"&amp;INDEX('素材需求'!$M$8:$M$119,MATCH(B304,'素材需求'!$A$8:$A$119,0))&amp;CHAR(10)&amp;"【颜色】"&amp;'生成规范'!$B$10&amp;"；"&amp;'生成规范'!$B$11&amp;CHAR(10)&amp;"【输出规则】"&amp;'生成规范'!$B$12&amp;" 后处理对齐尺寸与轴点；交付用途："&amp;H304&amp;CHAR(10)&amp;"【禁止项】"&amp;'生成规范'!$B$9&amp;"；"&amp;INDEX('素材需求'!$N$8:$N$119,MATCH(B304,'素材需求'!$A$8:$A$119,0))</x:f>
        <x:v>【交付文件】nm_v2_poll_n03_live_live_corner_blank.png
【本张任务】大狗无字直播角标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【单张范围】本次只交一张独立PNG：一个红橙粉白直播式角标空底，可含简化摄像机图形，不含字与计数。不拼图，不含其他单元。
【本组造型约束】红橙#FF8A3D、粉红#FF4FA3与打call白；一个直播式空角标底座、一颗简化应援爱心，轮廓轻快，表现围观与应援涌入。角标可有纯图形摄像机轮廓但不含LIVE/直播中/观看数；不增加真实直播功能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【参考对象】大狗的红橙粉白、热闹直播应援气质；对应直播式角标和单颗爱心，声浪与围观感强但无真实平台标识。
【制作规格】1024×512 px；透明PNG（RGBA）；一单元一张独立图，非多格sheet。；角标左上(0,0)；爱心中心(0.5,0.5)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04" s="37" t="str">
        <x:v>本次只交一张独立PNG：一个红橙粉白直播式角标空底，可含简化摄像机图形，不含字与计数。不拼图，不含其他单元。</x:v>
      </x:c>
      <x:c r="F304" s="37" t="str">
        <x:f>INDEX('素材需求'!$G$8:$G$119,MATCH(B304,'素材需求'!$A$8:$A$119,0))</x:f>
        <x:v>大狗的红橙粉白、热闹直播应援气质；对应直播式角标和单颗爱心，声浪与围观感强但无真实平台标识。</x:v>
      </x:c>
      <x:c r="G304" s="37" t="str">
        <x:f>INDEX('素材需求'!$B$8:$B$119,MATCH(B304,'素材需求'!$A$8:$A$119,0))</x:f>
        <x:v>P1局部污染</x:v>
      </x:c>
      <x:c r="H304" s="37" t="str">
        <x:v>游戏拆件／贴图</x:v>
      </x:c>
      <x:c r="I304" s="37" t="str">
        <x:v>1024×512 px；透明PNG（RGBA）；一单元一张独立图，非多格sheet。</x:v>
      </x:c>
      <x:c r="J304" s="37" t="str">
        <x:v>art_delivery/nm_v2/vfx/</x:v>
      </x:c>
      <x:c r="K304" s="45" t="str">
        <x:v>待生成</x:v>
      </x:c>
      <x:c r="L304" s="37" t="str">
        <x:v>live_corner_blank</x:v>
      </x:c>
    </x:row>
    <x:row r="305" ht="257.25" customHeight="1">
      <x:c r="A305" s="38" t="str">
        <x:f>INDEX('素材需求'!$D$8:$D$119,MATCH(B305,'素材需求'!$A$8:$A$119,0))&amp;IF(L305="","","_"&amp;L305)&amp;".png"</x:f>
        <x:v>nm_v2_poll_n03_live_cheer_heart.png</x:v>
      </x:c>
      <x:c r="B305" s="38" t="str">
        <x:v>NM_V2_POLL_N03</x:v>
      </x:c>
      <x:c r="C305" s="38" t="str">
        <x:v>大狗应援爱心</x:v>
      </x:c>
      <x:c r="D305" s="38" t="str">
        <x:f>"【交付文件】"&amp;A305&amp;CHAR(10)&amp;"【本张任务】"&amp;C305&amp;CHAR(10)&amp;'生成规范'!$B$8&amp;CHAR(10)&amp;"【单张范围】"&amp;E305&amp;CHAR(10)&amp;"【本组造型约束】"&amp;INDEX('素材需求'!$F$8:$F$119,MATCH(B305,'素材需求'!$A$8:$A$119,0))&amp;CHAR(10)&amp;"【参考对象】"&amp;F305&amp;CHAR(10)&amp;"【制作规格】"&amp;I305&amp;"；"&amp;INDEX('素材需求'!$M$8:$M$119,MATCH(B305,'素材需求'!$A$8:$A$119,0))&amp;CHAR(10)&amp;"【颜色】"&amp;'生成规范'!$B$10&amp;"；"&amp;'生成规范'!$B$11&amp;CHAR(10)&amp;"【输出规则】"&amp;'生成规范'!$B$12&amp;" 后处理对齐尺寸与轴点；交付用途："&amp;H305&amp;CHAR(10)&amp;"【禁止项】"&amp;'生成规范'!$B$9&amp;"；"&amp;INDEX('素材需求'!$N$8:$N$119,MATCH(B305,'素材需求'!$A$8:$A$119,0))</x:f>
        <x:v>【交付文件】nm_v2_poll_n03_live_cheer_heart.png
【本张任务】大狗应援爱心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【单张范围】本次只交一张独立PNG：一颗独立粉白爱心图形，轻快而非医疗符号，不含粒子群或范围圈。不拼图，不含其他单元。
【本组造型约束】红橙#FF8A3D、粉红#FF4FA3与打call白；一个直播式空角标底座、一颗简化应援爱心，轮廓轻快，表现围观与应援涌入。角标可有纯图形摄像机轮廓但不含LIVE/直播中/观看数；不增加真实直播功能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【参考对象】大狗的红橙粉白、热闹直播应援气质；对应直播式角标和单颗爱心，声浪与围观感强但无真实平台标识。
【制作规格】512×512 px；透明PNG（RGBA）；一单元一张独立图，非多格sheet。；角标左上(0,0)；爱心中心(0.5,0.5)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05" s="38" t="str">
        <x:v>本次只交一张独立PNG：一颗独立粉白爱心图形，轻快而非医疗符号，不含粒子群或范围圈。不拼图，不含其他单元。</x:v>
      </x:c>
      <x:c r="F305" s="38" t="str">
        <x:f>INDEX('素材需求'!$G$8:$G$119,MATCH(B305,'素材需求'!$A$8:$A$119,0))</x:f>
        <x:v>大狗的红橙粉白、热闹直播应援气质；对应直播式角标和单颗爱心，声浪与围观感强但无真实平台标识。</x:v>
      </x:c>
      <x:c r="G305" s="38" t="str">
        <x:f>INDEX('素材需求'!$B$8:$B$119,MATCH(B305,'素材需求'!$A$8:$A$119,0))</x:f>
        <x:v>P1局部污染</x:v>
      </x:c>
      <x:c r="H305" s="38" t="str">
        <x:v>游戏拆件／贴图</x:v>
      </x:c>
      <x:c r="I305" s="38" t="str">
        <x:v>512×512 px；透明PNG（RGBA）；一单元一张独立图，非多格sheet。</x:v>
      </x:c>
      <x:c r="J305" s="38" t="str">
        <x:v>art_delivery/nm_v2/vfx/</x:v>
      </x:c>
      <x:c r="K305" s="45" t="str">
        <x:v>待生成</x:v>
      </x:c>
      <x:c r="L305" s="38" t="str">
        <x:v>cheer_heart</x:v>
      </x:c>
    </x:row>
    <x:row r="306" ht="257.25" customHeight="1">
      <x:c r="A306" s="37" t="str">
        <x:f>INDEX('素材需求'!$D$8:$D$119,MATCH(B306,'素材需求'!$A$8:$A$119,0))&amp;IF(L306="","","_"&amp;L306)&amp;".png"</x:f>
        <x:v>nm_v2_poll_n04_notification_notice_blank.png</x:v>
      </x:c>
      <x:c r="B306" s="37" t="str">
        <x:v>NM_V2_POLL_N04</x:v>
      </x:c>
      <x:c r="C306" s="37" t="str">
        <x:v>叮咚鸡无字通知条</x:v>
      </x:c>
      <x:c r="D306" s="37" t="str">
        <x:f>"【交付文件】"&amp;A306&amp;CHAR(10)&amp;"【本张任务】"&amp;C306&amp;CHAR(10)&amp;'生成规范'!$B$8&amp;CHAR(10)&amp;"【单张范围】"&amp;E306&amp;CHAR(10)&amp;"【本组造型约束】"&amp;INDEX('素材需求'!$F$8:$F$119,MATCH(B306,'素材需求'!$A$8:$A$119,0))&amp;CHAR(10)&amp;"【参考对象】"&amp;F306&amp;CHAR(10)&amp;"【制作规格】"&amp;I306&amp;"；"&amp;INDEX('素材需求'!$M$8:$M$119,MATCH(B306,'素材需求'!$A$8:$A$119,0))&amp;CHAR(10)&amp;"【颜色】"&amp;'生成规范'!$B$10&amp;"；"&amp;'生成规范'!$B$11&amp;CHAR(10)&amp;"【输出规则】"&amp;'生成规范'!$B$12&amp;" 后处理对齐尺寸与轴点；交付用途："&amp;H306&amp;CHAR(10)&amp;"【禁止项】"&amp;'生成规范'!$B$9&amp;"；"&amp;INDEX('素材需求'!$N$8:$N$119,MATCH(B306,'素材需求'!$A$8:$A$119,0))</x:f>
        <x:v>【交付文件】nm_v2_poll_n04_notification_notice_blank.png
【本张任务】叮咚鸡无字通知条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【单张范围】本次只交一张独立PNG：一个明黄橙黄通知空条，允许单个铃铛图形，不含叮咚文字或数字。不拼图，不含其他单元。
【本组造型约束】明黄#FFD84D、橙黄与提示红；一条无字系统通知条、一张音轨播报空框。可含简化铃铛或喇叭图形；波形区域与播放轨道保持空白，播放头/循环符号/文字由程序。强调强提醒与循环播报，保留常态控制台可操作性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【参考对象】叮咚鸡的明黄橙黄、通知与广播气质；对应铃铛通知条和波形播报空框，无现成音频曲线与播放读数。
【制作规格】1024×256 px；透明PNG（RGBA）；一单元一张独立图，非多格sheet。；左侧进入点/框左上(0,0)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06" s="37" t="str">
        <x:v>本次只交一张独立PNG：一个明黄橙黄通知空条，允许单个铃铛图形，不含叮咚文字或数字。不拼图，不含其他单元。</x:v>
      </x:c>
      <x:c r="F306" s="37" t="str">
        <x:f>INDEX('素材需求'!$G$8:$G$119,MATCH(B306,'素材需求'!$A$8:$A$119,0))</x:f>
        <x:v>叮咚鸡的明黄橙黄、通知与广播气质；对应铃铛通知条和波形播报空框，无现成音频曲线与播放读数。</x:v>
      </x:c>
      <x:c r="G306" s="37" t="str">
        <x:f>INDEX('素材需求'!$B$8:$B$119,MATCH(B306,'素材需求'!$A$8:$A$119,0))</x:f>
        <x:v>P1局部污染</x:v>
      </x:c>
      <x:c r="H306" s="37" t="str">
        <x:v>游戏拆件／贴图</x:v>
      </x:c>
      <x:c r="I306" s="37" t="str">
        <x:v>1024×256 px；透明PNG（RGBA）；一单元一张独立图，非多格sheet。</x:v>
      </x:c>
      <x:c r="J306" s="37" t="str">
        <x:v>art_delivery/nm_v2/vfx/</x:v>
      </x:c>
      <x:c r="K306" s="45" t="str">
        <x:v>待生成</x:v>
      </x:c>
      <x:c r="L306" s="37" t="str">
        <x:v>notice_blank</x:v>
      </x:c>
    </x:row>
    <x:row r="307" ht="257.25" customHeight="1">
      <x:c r="A307" s="38" t="str">
        <x:f>INDEX('素材需求'!$D$8:$D$119,MATCH(B307,'素材需求'!$A$8:$A$119,0))&amp;IF(L307="","","_"&amp;L307)&amp;".png"</x:f>
        <x:v>nm_v2_poll_n04_notification_waveform_panel_blank.png</x:v>
      </x:c>
      <x:c r="B307" s="38" t="str">
        <x:v>NM_V2_POLL_N04</x:v>
      </x:c>
      <x:c r="C307" s="38" t="str">
        <x:v>叮咚鸡无字波形播报框</x:v>
      </x:c>
      <x:c r="D307" s="38" t="str">
        <x:f>"【交付文件】"&amp;A307&amp;CHAR(10)&amp;"【本张任务】"&amp;C307&amp;CHAR(10)&amp;'生成规范'!$B$8&amp;CHAR(10)&amp;"【单张范围】"&amp;E307&amp;CHAR(10)&amp;"【本组造型约束】"&amp;INDEX('素材需求'!$F$8:$F$119,MATCH(B307,'素材需求'!$A$8:$A$119,0))&amp;CHAR(10)&amp;"【参考对象】"&amp;F307&amp;CHAR(10)&amp;"【制作规格】"&amp;I307&amp;"；"&amp;INDEX('素材需求'!$M$8:$M$119,MATCH(B307,'素材需求'!$A$8:$A$119,0))&amp;CHAR(10)&amp;"【颜色】"&amp;'生成规范'!$B$10&amp;"；"&amp;'生成规范'!$B$11&amp;CHAR(10)&amp;"【输出规则】"&amp;'生成规范'!$B$12&amp;" 后处理对齐尺寸与轴点；交付用途："&amp;H307&amp;CHAR(10)&amp;"【禁止项】"&amp;'生成规范'!$B$9&amp;"；"&amp;INDEX('素材需求'!$N$8:$N$119,MATCH(B307,'素材需求'!$A$8:$A$119,0))</x:f>
        <x:v>【交付文件】nm_v2_poll_n04_notification_waveform_panel_blank.png
【本张任务】叮咚鸡无字波形播报框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【单张范围】本次只交一张独立PNG：一个空音轨播报外框，波形区和进度轨道完全空白，不画假波形。不拼图，不含其他单元。
【本组造型约束】明黄#FFD84D、橙黄与提示红；一条无字系统通知条、一张音轨播报空框。可含简化铃铛或喇叭图形；波形区域与播放轨道保持空白，播放头/循环符号/文字由程序。强调强提醒与循环播报，保留常态控制台可操作性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【参考对象】叮咚鸡的明黄橙黄、通知与广播气质；对应铃铛通知条和波形播报空框，无现成音频曲线与播放读数。
【制作规格】1024×512 px；透明PNG（RGBA）；一单元一张独立图，非多格sheet。；左侧进入点/框左上(0,0)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07" s="38" t="str">
        <x:v>本次只交一张独立PNG：一个空音轨播报外框，波形区和进度轨道完全空白，不画假波形。不拼图，不含其他单元。</x:v>
      </x:c>
      <x:c r="F307" s="38" t="str">
        <x:f>INDEX('素材需求'!$G$8:$G$119,MATCH(B307,'素材需求'!$A$8:$A$119,0))</x:f>
        <x:v>叮咚鸡的明黄橙黄、通知与广播气质；对应铃铛通知条和波形播报空框，无现成音频曲线与播放读数。</x:v>
      </x:c>
      <x:c r="G307" s="38" t="str">
        <x:f>INDEX('素材需求'!$B$8:$B$119,MATCH(B307,'素材需求'!$A$8:$A$119,0))</x:f>
        <x:v>P1局部污染</x:v>
      </x:c>
      <x:c r="H307" s="38" t="str">
        <x:v>游戏拆件／贴图</x:v>
      </x:c>
      <x:c r="I307" s="38" t="str">
        <x:v>1024×512 px；透明PNG（RGBA）；一单元一张独立图，非多格sheet。</x:v>
      </x:c>
      <x:c r="J307" s="38" t="str">
        <x:v>art_delivery/nm_v2/vfx/</x:v>
      </x:c>
      <x:c r="K307" s="45" t="str">
        <x:v>待生成</x:v>
      </x:c>
      <x:c r="L307" s="38" t="str">
        <x:v>waveform_panel_blank</x:v>
      </x:c>
    </x:row>
    <x:row r="308" ht="257.25" customHeight="1">
      <x:c r="A308" s="37" t="str">
        <x:f>INDEX('素材需求'!$D$8:$D$119,MATCH(B308,'素材需求'!$A$8:$A$119,0))&amp;IF(L308="","","_"&amp;L308)&amp;".png"</x:f>
        <x:v>nm_v2_poll_n05_soft_noise_onomatopoeia_blank.png</x:v>
      </x:c>
      <x:c r="B308" s="37" t="str">
        <x:v>NM_V2_POLL_N05</x:v>
      </x:c>
      <x:c r="C308" s="37" t="str">
        <x:v>咕咕嘎嘎软拟声空框</x:v>
      </x:c>
      <x:c r="D308" s="37" t="str">
        <x:f>"【交付文件】"&amp;A308&amp;CHAR(10)&amp;"【本张任务】"&amp;C308&amp;CHAR(10)&amp;'生成规范'!$B$8&amp;CHAR(10)&amp;"【单张范围】"&amp;E308&amp;CHAR(10)&amp;"【本组造型约束】"&amp;INDEX('素材需求'!$F$8:$F$119,MATCH(B308,'素材需求'!$A$8:$A$119,0))&amp;CHAR(10)&amp;"【参考对象】"&amp;F308&amp;CHAR(10)&amp;"【制作规格】"&amp;I308&amp;"；"&amp;INDEX('素材需求'!$M$8:$M$119,MATCH(B308,'素材需求'!$A$8:$A$119,0))&amp;CHAR(10)&amp;"【颜色】"&amp;'生成规范'!$B$10&amp;"；"&amp;'生成规范'!$B$11&amp;CHAR(10)&amp;"【输出规则】"&amp;'生成规范'!$B$12&amp;" 后处理对齐尺寸与轴点；交付用途："&amp;H308&amp;CHAR(10)&amp;"【禁止项】"&amp;'生成规范'!$B$9&amp;"；"&amp;INDEX('素材需求'!$N$8:$N$119,MATCH(B308,'素材需求'!$A$8:$A$119,0))</x:f>
        <x:v>【交付文件】nm_v2_poll_n05_soft_noise_onomatopoeia_blank.png
【本张任务】咕咕嘎嘎软拟声空框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【单张范围】本次只交一张独立PNG：一个粉白浅蓝软弹云状空白气泡，不含咕咕嘎嘎或任何文字。不拼图，不含其他单元。
【本组造型约束】浅蓝#4EDBFF降低饱和度配粉白；一张软弹云状拟声空框，一小片不规则软色压缩杂讯。母题幼态、哭闹与情绪溢出，柔软但重复不安；不能转为尖牙鬼脸或整屏故障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【参考对象】咕咕嘎嘎的浅蓝粉白、婴幼儿软噪声气质；对应云状软弹拟声空框及圆角杂讯块，保持柔软而重复不安。
【制作规格】1024×512 px；透明PNG（RGBA）；一单元一张独立图，非多格sheet。；气泡尾端/杂讯中心，局部房间或敌人附近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08" s="37" t="str">
        <x:v>本次只交一张独立PNG：一个粉白浅蓝软弹云状空白气泡，不含咕咕嘎嘎或任何文字。不拼图，不含其他单元。</x:v>
      </x:c>
      <x:c r="F308" s="37" t="str">
        <x:f>INDEX('素材需求'!$G$8:$G$119,MATCH(B308,'素材需求'!$A$8:$A$119,0))</x:f>
        <x:v>咕咕嘎嘎的浅蓝粉白、婴幼儿软噪声气质；对应云状软弹拟声空框及圆角杂讯块，保持柔软而重复不安。</x:v>
      </x:c>
      <x:c r="G308" s="37" t="str">
        <x:f>INDEX('素材需求'!$B$8:$B$119,MATCH(B308,'素材需求'!$A$8:$A$119,0))</x:f>
        <x:v>P1局部污染</x:v>
      </x:c>
      <x:c r="H308" s="37" t="str">
        <x:v>游戏拆件／贴图</x:v>
      </x:c>
      <x:c r="I308" s="37" t="str">
        <x:v>1024×512 px；透明PNG（RGBA）；一单元一张独立图，非多格sheet。</x:v>
      </x:c>
      <x:c r="J308" s="37" t="str">
        <x:v>art_delivery/nm_v2/vfx/</x:v>
      </x:c>
      <x:c r="K308" s="45" t="str">
        <x:v>待生成</x:v>
      </x:c>
      <x:c r="L308" s="37" t="str">
        <x:v>onomatopoeia_blank</x:v>
      </x:c>
    </x:row>
    <x:row r="309" ht="257.25" customHeight="1">
      <x:c r="A309" s="38" t="str">
        <x:f>INDEX('素材需求'!$D$8:$D$119,MATCH(B309,'素材需求'!$A$8:$A$119,0))&amp;IF(L309="","","_"&amp;L309)&amp;".png"</x:f>
        <x:v>nm_v2_poll_n05_soft_noise_soft_noise_key.png</x:v>
      </x:c>
      <x:c r="B309" s="38" t="str">
        <x:v>NM_V2_POLL_N05</x:v>
      </x:c>
      <x:c r="C309" s="38" t="str">
        <x:v>咕咕嘎嘎软色杂讯片</x:v>
      </x:c>
      <x:c r="D309" s="38" t="str">
        <x:f>"【交付文件】"&amp;A309&amp;CHAR(10)&amp;"【本张任务】"&amp;C309&amp;CHAR(10)&amp;'生成规范'!$B$8&amp;CHAR(10)&amp;"【单张范围】"&amp;E309&amp;CHAR(10)&amp;"【本组造型约束】"&amp;INDEX('素材需求'!$F$8:$F$119,MATCH(B309,'素材需求'!$A$8:$A$119,0))&amp;CHAR(10)&amp;"【参考对象】"&amp;F309&amp;CHAR(10)&amp;"【制作规格】"&amp;I309&amp;"；"&amp;INDEX('素材需求'!$M$8:$M$119,MATCH(B309,'素材需求'!$A$8:$A$119,0))&amp;CHAR(10)&amp;"【颜色】"&amp;'生成规范'!$B$10&amp;"；"&amp;'生成规范'!$B$11&amp;CHAR(10)&amp;"【输出规则】"&amp;'生成规范'!$B$12&amp;" 后处理对齐尺寸与轴点；交付用途："&amp;H309&amp;CHAR(10)&amp;"【禁止项】"&amp;'生成规范'!$B$9&amp;"；"&amp;INDEX('素材需求'!$N$8:$N$119,MATCH(B309,'素材需求'!$A$8:$A$119,0))</x:f>
        <x:v>【交付文件】nm_v2_poll_n05_soft_noise_soft_noise_key.png
【本张任务】咕咕嘎嘎软色杂讯片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【单张范围】本次只交一张独立PNG：一小片疏朗的浅蓝粉白圆角压缩块，中心有透明空隙，无文字和精确波纹。不拼图，不含其他单元。
【本组造型约束】浅蓝#4EDBFF降低饱和度配粉白；一张软弹云状拟声空框，一小片不规则软色压缩杂讯。母题幼态、哭闹与情绪溢出，柔软但重复不安；不能转为尖牙鬼脸或整屏故障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【参考对象】咕咕嘎嘎的浅蓝粉白、婴幼儿软噪声气质；对应云状软弹拟声空框及圆角杂讯块，保持柔软而重复不安。
【制作规格】512×512 px；透明PNG（RGBA）；一单元一张独立图，非多格sheet。；气泡尾端/杂讯中心，局部房间或敌人附近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09" s="38" t="str">
        <x:v>本次只交一张独立PNG：一小片疏朗的浅蓝粉白圆角压缩块，中心有透明空隙，无文字和精确波纹。不拼图，不含其他单元。</x:v>
      </x:c>
      <x:c r="F309" s="38" t="str">
        <x:f>INDEX('素材需求'!$G$8:$G$119,MATCH(B309,'素材需求'!$A$8:$A$119,0))</x:f>
        <x:v>咕咕嘎嘎的浅蓝粉白、婴幼儿软噪声气质；对应云状软弹拟声空框及圆角杂讯块，保持柔软而重复不安。</x:v>
      </x:c>
      <x:c r="G309" s="38" t="str">
        <x:f>INDEX('素材需求'!$B$8:$B$119,MATCH(B309,'素材需求'!$A$8:$A$119,0))</x:f>
        <x:v>P1局部污染</x:v>
      </x:c>
      <x:c r="H309" s="38" t="str">
        <x:v>游戏拆件／贴图</x:v>
      </x:c>
      <x:c r="I309" s="38" t="str">
        <x:v>512×512 px；透明PNG（RGBA）；一单元一张独立图，非多格sheet。</x:v>
      </x:c>
      <x:c r="J309" s="38" t="str">
        <x:v>art_delivery/nm_v2/vfx/</x:v>
      </x:c>
      <x:c r="K309" s="45" t="str">
        <x:v>待生成</x:v>
      </x:c>
      <x:c r="L309" s="38" t="str">
        <x:v>soft_noise_key</x:v>
      </x:c>
    </x:row>
    <x:row r="310" ht="314.25" customHeight="1">
      <x:c r="A310" s="37" t="str">
        <x:f>INDEX('素材需求'!$D$8:$D$119,MATCH(B310,'素材需求'!$A$8:$A$119,0))&amp;IF(L310="","","_"&amp;L310)&amp;".png"</x:f>
        <x:v>nm_v2_agent_skill_response_reference_acknowledge.png</x:v>
      </x:c>
      <x:c r="B310" s="37" t="str">
        <x:v>NMV2_STA_014</x:v>
      </x:c>
      <x:c r="C310" s="37" t="str">
        <x:v>技能响应姿</x:v>
      </x:c>
      <x:c r="D310" s="37" t="str">
        <x:f>"【交付文件】"&amp;A310&amp;CHAR(10)&amp;"【本张任务】"&amp;C310&amp;CHAR(10)&amp;'生成规范'!$B$8&amp;CHAR(10)&amp;"【单张范围】"&amp;E310&amp;CHAR(10)&amp;"【本组造型约束】"&amp;INDEX('素材需求'!$F$8:$F$119,MATCH(B310,'素材需求'!$A$8:$A$119,0))&amp;CHAR(10)&amp;"【参考对象】"&amp;F310&amp;CHAR(10)&amp;"【制作规格】"&amp;I310&amp;"；"&amp;INDEX('素材需求'!$M$8:$M$119,MATCH(B310,'素材需求'!$A$8:$A$119,0))&amp;CHAR(10)&amp;"【颜色】"&amp;'生成规范'!$B$10&amp;"；"&amp;'生成规范'!$B$11&amp;CHAR(10)&amp;"【输出规则】"&amp;'生成规范'!$B$12&amp;" 后处理对齐尺寸与轴点；交付用途："&amp;H310&amp;CHAR(10)&amp;"【禁止项】"&amp;'生成规范'!$B$9&amp;"；"&amp;INDEX('素材需求'!$N$8:$N$119,MATCH(B310,'素材需求'!$A$8:$A$119,0))</x:f>
        <x:v>【交付文件】nm_v2_agent_skill_response_reference_acknowledge.png
【本张任务】技能响应姿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【单张范围】只画本张：一位完整员工看向腕侧/管理终端、短促确认的克制响应姿；不画法阵、投射物或施法光束；本张仅这一独立交付单元，不含其他零件、对照姿势、sheet、文字、背景或地面投影。
【本组造型约束】现代新媒体收容机构员工，2.5—3头身，头、躯干、手脚轮廓明确；自然站姿、舒展肩颈、可亲而专业，简洁中等深色轮廓与平整色块，最多两级柔和阴影。基础色 #12161C/#1E2630/#39424E/#D9E1EA，冷青 #57B8FF 仅小面积识别；不沿用神经质前倾、纸纹、锈色排线。 仅作P2可选演出参考；现有技能由管理者点选目标，员工不是新增施法单位。 动作参考PNG仅指导后续分件动画，不是sprite帧、不是已经接入的动作；实际动画仍依赖pose.time/stride和真实状态，暂停时全部冻结。
【参考对象】现代机构员工在腕部/手持终端确认管理者技能反馈的单一短动作；仅表现响应，不做施法者、牧师或医生治疗姿势。
【制作规格】1024×1024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；员工根为脚底地面中心；1024×1024装配母版(512,896)，朝右，反向由引擎镜像。分件局部pivot：头颈接点、肩/肘/腕、髋/膝/踝、足底；手持物以实际握点为pivot，武器尖端朝右。独立居中生图后需注册到该母版，不能靠外框中心猜握点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后处理对齐尺寸与轴点；交付用途：定稿／动作参考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蚀、旧纸排线、地牢、军工/特工装、满身霓虹、写实恐怖、空洞黑眼、獠牙裂嘴、长肢畸变、血腥、假实机截图、平台商标水印、背景或投影。禁止一张图塞多姿势/多零件/sheet；需要可读文字的区域留空，由程序排版。</x:v>
      </x:c>
      <x:c r="E310" s="37" t="str">
        <x:v>只画本张：一位完整员工看向腕侧/管理终端、短促确认的克制响应姿；不画法阵、投射物或施法光束；本张仅这一独立交付单元，不含其他零件、对照姿势、sheet、文字、背景或地面投影。</x:v>
      </x:c>
      <x:c r="F310" s="37" t="str">
        <x:f>INDEX('素材需求'!$G$8:$G$119,MATCH(B310,'素材需求'!$A$8:$A$119,0))</x:f>
        <x:v>现代机构员工在腕部/手持终端确认管理者技能反馈的单一短动作；仅表现响应，不做施法者、牧师或医生治疗姿势。</x:v>
      </x:c>
      <x:c r="G310" s="37" t="str">
        <x:f>INDEX('素材需求'!$B$8:$B$119,MATCH(B310,'素材需求'!$A$8:$A$119,0))</x:f>
        <x:v>P2扩展演出</x:v>
      </x:c>
      <x:c r="H310" s="37" t="str">
        <x:v>定稿／动作参考</x:v>
      </x:c>
      <x:c r="I310" s="37" t="str">
        <x:v>1024×1024 px / 每张；每个 units 条目独立交付一张 PNG，RGBA/sRGB/真透明背景，主体不半透明；命名=name+'_'+suffix+'.png'。PNG 不合并成图集。挂点/朝向/trim 记录是附属元数据，不计 PNG 数量；允许技术裁边，但必须同步挂点，原图保留。</x:v>
      </x:c>
      <x:c r="J310" s="37" t="str">
        <x:v>art_delivery/nm_v2/references/</x:v>
      </x:c>
      <x:c r="K310" s="45" t="str">
        <x:v>待生成</x:v>
      </x:c>
      <x:c r="L310" s="37" t="str">
        <x:v>acknowledge</x:v>
      </x:c>
    </x:row>
    <x:row r="311" ht="300" customHeight="1">
      <x:c r="A311" s="38" t="str">
        <x:f>INDEX('素材需求'!$D$8:$D$119,MATCH(B311,'素材需求'!$A$8:$A$119,0))&amp;IF(L311="","","_"&amp;L311)&amp;".png"</x:f>
        <x:v>nm_v2_env_linked_surface_fragments_conduit_trace.png</x:v>
      </x:c>
      <x:c r="B311" s="38" t="str">
        <x:v>ENV_V2_034</x:v>
      </x:c>
      <x:c r="C311" s="38" t="str">
        <x:v>服务线局部数据错位</x:v>
      </x:c>
      <x:c r="D311" s="38" t="str">
        <x:f>"【交付文件】"&amp;A311&amp;CHAR(10)&amp;"【本张任务】"&amp;C311&amp;CHAR(10)&amp;'生成规范'!$B$8&amp;CHAR(10)&amp;"【单张范围】"&amp;E311&amp;CHAR(10)&amp;"【本组造型约束】"&amp;INDEX('素材需求'!$F$8:$F$119,MATCH(B311,'素材需求'!$A$8:$A$119,0))&amp;CHAR(10)&amp;"【参考对象】"&amp;F311&amp;CHAR(10)&amp;"【制作规格】"&amp;I311&amp;"；"&amp;INDEX('素材需求'!$M$8:$M$119,MATCH(B311,'素材需求'!$A$8:$A$119,0))&amp;CHAR(10)&amp;"【颜色】"&amp;'生成规范'!$B$10&amp;"；"&amp;'生成规范'!$B$11&amp;CHAR(10)&amp;"【输出规则】"&amp;'生成规范'!$B$12&amp;" 后处理对齐尺寸与轴点；交付用途："&amp;H311&amp;CHAR(10)&amp;"【禁止项】"&amp;'生成规范'!$B$9&amp;"；"&amp;INDEX('素材需求'!$N$8:$N$119,MATCH(B311,'素材需求'!$A$8:$A$119,0))</x:f>
        <x:v>【交付文件】nm_v2_env_linked_surface_fragments_conduit_trace.png
【本张任务】服务线局部数据错位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【单张范围】本次只画1024×256的一条稀疏半透明数据短线残影，沿单一水平服务线的窄带分布，不含实体管线、整层传播图或闪电；单件独立PNG，不附其他同组部件、人物或背景。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仅备选扩展演出素材：一条低覆盖度短线缆数据错位贴层，一块玻璃角部像素裂片。色彩采用少量冷青/亮紫，低密度透明，不能画出实际电流伤害、物理裂缝或通路断开。提供单一静态图层，由显示层短时变换；不要求一次生成序列帧。
【参考对象】设备玻璃边缘的低覆盖度像素错位投影、封闭服务线上的短数据光痕；参考局部透明附着结构，不画实际破损、电流攻击或整层传播画面。只参考结构，按本版色板绘制为二维正交侧视素材，不照搬对象的原配色、品牌或文字。
【制作规格】1024×256 px；单张RGBA透明PNG，sRGB，8bit；至少85%画布完全透明，局部残影保留Alpha。；管线贴层左端中轴；玻璃角部贴层左上。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311" s="38" t="str">
        <x:v>本次只画1024×256的一条稀疏半透明数据短线残影，沿单一水平服务线的窄带分布，不含实体管线、整层传播图或闪电；单件独立PNG，不附其他同组部件、人物或背景。</x:v>
      </x:c>
      <x:c r="F311" s="38" t="str">
        <x:f>INDEX('素材需求'!$G$8:$G$119,MATCH(B311,'素材需求'!$A$8:$A$119,0))</x:f>
        <x:v>设备玻璃边缘的低覆盖度像素错位投影、封闭服务线上的短数据光痕；参考局部透明附着结构，不画实际破损、电流攻击或整层传播画面。只参考结构，按本版色板绘制为二维正交侧视素材，不照搬对象的原配色、品牌或文字。</x:v>
      </x:c>
      <x:c r="G311" s="38" t="str">
        <x:f>INDEX('素材需求'!$B$8:$B$119,MATCH(B311,'素材需求'!$A$8:$A$119,0))</x:f>
        <x:v>P2扩展演出</x:v>
      </x:c>
      <x:c r="H311" s="38" t="str">
        <x:v>游戏拆件／贴图</x:v>
      </x:c>
      <x:c r="I311" s="38" t="str">
        <x:v>1024×256 px；单张RGBA透明PNG，sRGB，8bit；至少85%画布完全透明，局部残影保留Alpha。</x:v>
      </x:c>
      <x:c r="J311" s="38" t="str">
        <x:v>art_delivery/nm_v2/environment/</x:v>
      </x:c>
      <x:c r="K311" s="45" t="str">
        <x:v>待生成</x:v>
      </x:c>
      <x:c r="L311" s="38" t="str">
        <x:v>conduit_trace</x:v>
      </x:c>
    </x:row>
    <x:row r="312" ht="300" customHeight="1">
      <x:c r="A312" s="37" t="str">
        <x:f>INDEX('素材需求'!$D$8:$D$119,MATCH(B312,'素材需求'!$A$8:$A$119,0))&amp;IF(L312="","","_"&amp;L312)&amp;".png"</x:f>
        <x:v>nm_v2_env_linked_surface_fragments_glass_corner.png</x:v>
      </x:c>
      <x:c r="B312" s="37" t="str">
        <x:v>ENV_V2_034</x:v>
      </x:c>
      <x:c r="C312" s="37" t="str">
        <x:v>观察窗角部像素裂片</x:v>
      </x:c>
      <x:c r="D312" s="37" t="str">
        <x:f>"【交付文件】"&amp;A312&amp;CHAR(10)&amp;"【本张任务】"&amp;C312&amp;CHAR(10)&amp;'生成规范'!$B$8&amp;CHAR(10)&amp;"【单张范围】"&amp;E312&amp;CHAR(10)&amp;"【本组造型约束】"&amp;INDEX('素材需求'!$F$8:$F$119,MATCH(B312,'素材需求'!$A$8:$A$119,0))&amp;CHAR(10)&amp;"【参考对象】"&amp;F312&amp;CHAR(10)&amp;"【制作规格】"&amp;I312&amp;"；"&amp;INDEX('素材需求'!$M$8:$M$119,MATCH(B312,'素材需求'!$A$8:$A$119,0))&amp;CHAR(10)&amp;"【颜色】"&amp;'生成规范'!$B$10&amp;"；"&amp;'生成规范'!$B$11&amp;CHAR(10)&amp;"【输出规则】"&amp;'生成规范'!$B$12&amp;" 后处理对齐尺寸与轴点；交付用途："&amp;H312&amp;CHAR(10)&amp;"【禁止项】"&amp;'生成规范'!$B$9&amp;"；"&amp;INDEX('素材需求'!$N$8:$N$119,MATCH(B312,'素材需求'!$A$8:$A$119,0))</x:f>
        <x:v>【交付文件】nm_v2_env_linked_surface_fragments_glass_corner.png
【本张任务】观察窗角部像素裂片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【单张范围】本次只画1024×768的一块位于单个玻璃角部的浅冷青紫像素错位贴层，大部分透明，不含窗框、实体玻璃裂口或满屏花屏；单件独立PNG，不附其他同组部件、人物或背景。
【本组造型约束】二维正交侧视剖面游戏素材，现代新媒体收容机构；清洁金属、细窄接缝、冷白玻璃与克制平涂，避免写实摄影。基础色#12161C/#1E2630/#39424E/#D9E1EA，#57B8FF仅作少量指示。每个unit独立生成一张PNG，不在一张图里排列多个交付件；不含人物、异常实体或完整关卡。建议画布像素仅用于纹理制作，不改变3600×2500逻辑地图。仅备选扩展演出素材：一条低覆盖度短线缆数据错位贴层，一块玻璃角部像素裂片。色彩采用少量冷青/亮紫，低密度透明，不能画出实际电流伤害、物理裂缝或通路断开。提供单一静态图层，由显示层短时变换；不要求一次生成序列帧。
【参考对象】设备玻璃边缘的低覆盖度像素错位投影、封闭服务线上的短数据光痕；参考局部透明附着结构，不画实际破损、电流攻击或整层传播画面。只参考结构，按本版色板绘制为二维正交侧视素材，不照搬对象的原配色、品牌或文字。
【制作规格】1024×768 px；单张RGBA透明PNG，sRGB，8bit；至少85%画布完全透明，局部残影保留Alpha。；管线贴层左端中轴；玻璃角部贴层左上。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禁止古典工业、重锈、脏污旧铁皮、地牢监狱、柴油朋克、纸质档案馆、CRT、模拟指针仪表、赛博城市霓虹和厚重歪墨线；禁止人物/怪物烘焙、HUD、完整房间假截图、透视缩短、等距视角、多视图拼图、品牌Logo、水印、乱码和数据数字；不得把门开关、持续灯闪或动画序列烘焙进一张图。</x:v>
      </x:c>
      <x:c r="E312" s="37" t="str">
        <x:v>本次只画1024×768的一块位于单个玻璃角部的浅冷青紫像素错位贴层，大部分透明，不含窗框、实体玻璃裂口或满屏花屏；单件独立PNG，不附其他同组部件、人物或背景。</x:v>
      </x:c>
      <x:c r="F312" s="37" t="str">
        <x:f>INDEX('素材需求'!$G$8:$G$119,MATCH(B312,'素材需求'!$A$8:$A$119,0))</x:f>
        <x:v>设备玻璃边缘的低覆盖度像素错位投影、封闭服务线上的短数据光痕；参考局部透明附着结构，不画实际破损、电流攻击或整层传播画面。只参考结构，按本版色板绘制为二维正交侧视素材，不照搬对象的原配色、品牌或文字。</x:v>
      </x:c>
      <x:c r="G312" s="37" t="str">
        <x:f>INDEX('素材需求'!$B$8:$B$119,MATCH(B312,'素材需求'!$A$8:$A$119,0))</x:f>
        <x:v>P2扩展演出</x:v>
      </x:c>
      <x:c r="H312" s="37" t="str">
        <x:v>游戏拆件／贴图</x:v>
      </x:c>
      <x:c r="I312" s="37" t="str">
        <x:v>1024×768 px；单张RGBA透明PNG，sRGB，8bit；至少85%画布完全透明，局部残影保留Alpha。</x:v>
      </x:c>
      <x:c r="J312" s="37" t="str">
        <x:v>art_delivery/nm_v2/environment/</x:v>
      </x:c>
      <x:c r="K312" s="45" t="str">
        <x:v>待生成</x:v>
      </x:c>
      <x:c r="L312" s="37" t="str">
        <x:v>glass_corner</x:v>
      </x:c>
    </x:row>
    <x:row r="313" ht="257.25" customHeight="1">
      <x:c r="A313" s="38" t="str">
        <x:f>INDEX('素材需求'!$D$8:$D$119,MATCH(B313,'素材需求'!$A$8:$A$119,0))&amp;IF(L313="","","_"&amp;L313)&amp;".png"</x:f>
        <x:v>nm_v2_show_topic_tag_blank.png</x:v>
      </x:c>
      <x:c r="B313" s="38" t="str">
        <x:v>NM_V2_P2_001</x:v>
      </x:c>
      <x:c r="C313" s="38" t="str">
        <x:v>共享无字话题标签</x:v>
      </x:c>
      <x:c r="D313" s="38" t="str">
        <x:f>"【交付文件】"&amp;A313&amp;CHAR(10)&amp;"【本张任务】"&amp;C313&amp;CHAR(10)&amp;'生成规范'!$B$8&amp;CHAR(10)&amp;"【单张范围】"&amp;E313&amp;CHAR(10)&amp;"【本组造型约束】"&amp;INDEX('素材需求'!$F$8:$F$119,MATCH(B313,'素材需求'!$A$8:$A$119,0))&amp;CHAR(10)&amp;"【参考对象】"&amp;F313&amp;CHAR(10)&amp;"【制作规格】"&amp;I313&amp;"；"&amp;INDEX('素材需求'!$M$8:$M$119,MATCH(B313,'素材需求'!$A$8:$A$119,0))&amp;CHAR(10)&amp;"【颜色】"&amp;'生成规范'!$B$10&amp;"；"&amp;'生成规范'!$B$11&amp;CHAR(10)&amp;"【输出规则】"&amp;'生成规范'!$B$12&amp;" 后处理对齐尺寸与轴点；交付用途："&amp;H313&amp;CHAR(10)&amp;"【禁止项】"&amp;'生成规范'!$B$9&amp;"；"&amp;INDEX('素材需求'!$N$8:$N$119,MATCH(B313,'素材需求'!$A$8:$A$119,0))</x:f>
        <x:v>【交付文件】nm_v2_show_topic_tag_blank.png
【本张任务】共享无字话题标签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【单张范围】本次只交一张独立PNG：一条可着色的现代平台式空标签边片，不含热搜排名、文字或数值。不拼图，不含其他单元。
【本组造型约束】一条现代内容平台式无字标签边片，冷白中性底配少量可着色细边；从局部视口边缘插入后散去。只交一个复用母版，可按五物着色；不带排名、热度、趋势箭头、真实榜单或平台logo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【参考对象】内容平台中短时插入的无字话题标签；仅借用窄条插入形态，不借用真实热搜榜单或排名。
【制作规格】1024×256 px；窄片段；透明PNG（RGBA）；一单元一张独立图，非多格sheet。；左侧滑入锚点(0,0.5)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13" s="38" t="str">
        <x:v>本次只交一张独立PNG：一条可着色的现代平台式空标签边片，不含热搜排名、文字或数值。不拼图，不含其他单元。</x:v>
      </x:c>
      <x:c r="F313" s="38" t="str">
        <x:f>INDEX('素材需求'!$G$8:$G$119,MATCH(B313,'素材需求'!$A$8:$A$119,0))</x:f>
        <x:v>内容平台中短时插入的无字话题标签；仅借用窄条插入形态，不借用真实热搜榜单或排名。</x:v>
      </x:c>
      <x:c r="G313" s="38" t="str">
        <x:f>INDEX('素材需求'!$B$8:$B$119,MATCH(B313,'素材需求'!$A$8:$A$119,0))</x:f>
        <x:v>P2扩展演出</x:v>
      </x:c>
      <x:c r="H313" s="38" t="str">
        <x:v>游戏拆件／贴图</x:v>
      </x:c>
      <x:c r="I313" s="38" t="str">
        <x:v>1024×256 px；窄片段；透明PNG（RGBA）；一单元一张独立图，非多格sheet。</x:v>
      </x:c>
      <x:c r="J313" s="38" t="str">
        <x:v>art_delivery/nm_v2/vfx/</x:v>
      </x:c>
      <x:c r="K313" s="45" t="str">
        <x:v>待生成</x:v>
      </x:c>
      <x:c r="L313" s="38" t="str">
        <x:v>blank</x:v>
      </x:c>
    </x:row>
    <x:row r="314" ht="257.25" customHeight="1">
      <x:c r="A314" s="37" t="str">
        <x:f>INDEX('素材需求'!$D$8:$D$119,MATCH(B314,'素材需求'!$A$8:$A$119,0))&amp;IF(L314="","","_"&amp;L314)&amp;".png"</x:f>
        <x:v>nm_v2_show_compression_shard_key.png</x:v>
      </x:c>
      <x:c r="B314" s="37" t="str">
        <x:v>NM_V2_P2_002</x:v>
      </x:c>
      <x:c r="C314" s="37" t="str">
        <x:v>共享压缩插入关键图</x:v>
      </x:c>
      <x:c r="D314" s="37" t="str">
        <x:f>"【交付文件】"&amp;A314&amp;CHAR(10)&amp;"【本张任务】"&amp;C314&amp;CHAR(10)&amp;'生成规范'!$B$8&amp;CHAR(10)&amp;"【单张范围】"&amp;E314&amp;CHAR(10)&amp;"【本组造型约束】"&amp;INDEX('素材需求'!$F$8:$F$119,MATCH(B314,'素材需求'!$A$8:$A$119,0))&amp;CHAR(10)&amp;"【参考对象】"&amp;F314&amp;CHAR(10)&amp;"【制作规格】"&amp;I314&amp;"；"&amp;INDEX('素材需求'!$M$8:$M$119,MATCH(B314,'素材需求'!$A$8:$A$119,0))&amp;CHAR(10)&amp;"【颜色】"&amp;'生成规范'!$B$10&amp;"；"&amp;'生成规范'!$B$11&amp;CHAR(10)&amp;"【输出规则】"&amp;'生成规范'!$B$12&amp;" 后处理对齐尺寸与轴点；交付用途："&amp;H314&amp;CHAR(10)&amp;"【禁止项】"&amp;'生成规范'!$B$9&amp;"；"&amp;INDEX('素材需求'!$N$8:$N$119,MATCH(B314,'素材需求'!$A$8:$A$119,0))</x:f>
        <x:v>【交付文件】nm_v2_show_compression_shard_key.png
【本张任务】共享压缩插入关键图
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
【单张范围】本次只交一张独立PNG：一个透明为主的矩形压缩故障片，只含少量RGB边缘与信号碎块。不拼图，不含其他单元。
【本组造型约束】一张疏朗矩形压缩块关键图，局部RGB错位、少量冷白切片，单个独立片段；可裁切/镜像/缩放复用，不能画全屏故障贴图或角色拖影。表现平台信号挤入现实的插入感，不承担攻击效果。仅局部装饰覆盖层，禁止创建按钮命中区；DOM pointer-events:none/Phaser不setInteractive。文字、计数、波形、播放进度全由程序，不烘焙进PNG。保护员工/收容物位置、门口、房间编号与状态、HP/SP、技能可用性和当日目标。
【参考对象】视频局部压缩错误的疏朗矩形片段；少量RGB错位与冷白切片，透明占优，不遮蔽主体。
【制作规格】1024×512 px；至少70%透明；透明PNG（RGBA）；一单元一张独立图，非多格sheet。；局部事件中心(0.5,0.5)
【颜色】深灰黑 #12161C；蓝灰 #1E2630；金属灰 #39424E；冷白 #D9E1EA；冷青蓝 #57B8FF。建筑/制服/UI以此为骨架，保留亮面与空间层次，不做压抑黑洞。；荧光粉 #FF4FA3；亮紫 #9C6BFF；明黄 #FFD84D；亮橙 #FF8A3D；异常红 #FF5B6E；霓虹蓝 #4EDBFF。跟随五物母题局部点缀，禁止整张常态设施被荧光占满。
【输出规则】只生成本张限定对象的一张独立PNG，不生成拼贴、联系表、多姿势、多视角或含多个独立零件的大图。优先附上同角色已批准的v2定稿；未定稿先做定稿，不能混用其他角色的脸或旧版恐怖形态。 后处理对齐尺寸与轴点；交付用途：游戏拆件／贴图
【禁止项】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；不生成任何中文/英文/数字/价格/热键/平台名称/水印/可读文字；不画真实平台商标，不复刻真实社交产品界面；禁止旧纸、锈蚀、粗墨边、手写档案、地牢、柴油朋克、满屏霓虹、写实3D、整张网页或假实机截图。 </x:v>
      </x:c>
      <x:c r="E314" s="37" t="str">
        <x:v>本次只交一张独立PNG：一个透明为主的矩形压缩故障片，只含少量RGB边缘与信号碎块。不拼图，不含其他单元。</x:v>
      </x:c>
      <x:c r="F314" s="37" t="str">
        <x:f>INDEX('素材需求'!$G$8:$G$119,MATCH(B314,'素材需求'!$A$8:$A$119,0))</x:f>
        <x:v>视频局部压缩错误的疏朗矩形片段；少量RGB错位与冷白切片，透明占优，不遮蔽主体。</x:v>
      </x:c>
      <x:c r="G314" s="37" t="str">
        <x:f>INDEX('素材需求'!$B$8:$B$119,MATCH(B314,'素材需求'!$A$8:$A$119,0))</x:f>
        <x:v>P2扩展演出</x:v>
      </x:c>
      <x:c r="H314" s="37" t="str">
        <x:v>游戏拆件／贴图</x:v>
      </x:c>
      <x:c r="I314" s="37" t="str">
        <x:v>1024×512 px；至少70%透明；透明PNG（RGBA）；一单元一张独立图，非多格sheet。</x:v>
      </x:c>
      <x:c r="J314" s="37" t="str">
        <x:v>art_delivery/nm_v2/vfx/</x:v>
      </x:c>
      <x:c r="K314" s="45" t="str">
        <x:v>待生成</x:v>
      </x:c>
      <x:c r="L314" s="37" t="str">
        <x:v>key</x:v>
      </x:c>
    </x:row>
    <x:row r="315" ht="19.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</x:row>
    <x:row r="316" ht="19.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</x:row>
  </x:sheetData>
  <x:conditionalFormatting sqref="G8:G314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dataValidations count="1">
    <x:dataValidation type="list" sqref="K8:K314">
      <x:formula1>"待生成,已生成,需返工,已验收"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8dd0a6d2674902"/>
  </x:tableParts>
</x:worksheet>
</file>

<file path=xl/worksheets/sheet3.xml><?xml version="1.0" encoding="utf-8"?>
<x:worksheet xmlns:x="http://schemas.openxmlformats.org/spreadsheetml/2006/main">
  <x:sheetPr>
    <x:tabColor rgb="FF237BA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6.25" hidden="0" customWidth="1"/>
    <x:col min="2" max="2" width="140" hidden="0" customWidth="1"/>
  </x:cols>
  <x:sheetData>
    <x:row r="1" ht="19.5" customHeight="1">
      <x:c r="A1" s="4"/>
      <x:c r="B1" s="4"/>
    </x:row>
    <x:row r="2" ht="27" customHeight="1">
      <x:c r="A2" s="7" t="str">
        <x:v>生成规范｜现代新媒体收容机构</x:v>
      </x:c>
      <x:c r="B2" s="7"/>
    </x:row>
    <x:row r="3" ht="22.5" customHeight="1">
      <x:c r="A3" s="9" t="str">
        <x:v>v2.0 · 2026-10-21 · 本页为统一风格与技术输入，生成提示词自动引用</x:v>
      </x:c>
      <x:c r="B3" s="9"/>
    </x:row>
    <x:row r="4" ht="28.5" customHeight="1">
      <x:c r="A4" s="13" t="str">
        <x:v>规范项</x:v>
      </x:c>
      <x:c r="B4" s="13" t="str">
        <x:v>执行标准</x:v>
      </x:c>
    </x:row>
    <x:row r="5" ht="45" customHeight="1">
      <x:c r="A5" s="14" t="str">
        <x:v>使用顺序</x:v>
      </x:c>
      <x:c r="B5" s="4" t="str">
        <x:v>先按「素材需求」P0筛选：定稿→拆件→常态动作与设施/UI；常态验收后做P1五物局部污染，最后做P2升级演出。复制「逐张提示词」D列整段，一次只生成一张。</x:v>
      </x:c>
    </x:row>
    <x:row r="6" ht="45" customHeight="1">
      <x:c r="A6" s="16" t="str">
        <x:v>统计口径</x:v>
      </x:c>
      <x:c r="B6" s="15" t="str">
        <x:v>素材需求一行一组；逐张提示词一行一张PNG。定稿/动作参考与游戏拆件分别计数，参考图不能直接当动画。程序与动效的数量均为0，不计入PNG。</x:v>
      </x:c>
    </x:row>
    <x:row r="7" ht="45" customHeight="1">
      <x:c r="A7" s="14" t="str">
        <x:v>交付现状</x:v>
      </x:c>
      <x:c r="B7" s="4" t="str">
        <x:v>本版是新版美术生产需求，所有素材待生成、待验收、待接入；旧版已存在的图片和测试结果不能当作本版完成证明。本次Excel不会修改游戏素材或代码。</x:v>
      </x:c>
    </x:row>
    <x:row r="8" ht="45" customHeight="1">
      <x:c r="A8" s="16" t="str">
        <x:v>统一风格提示词</x:v>
      </x:c>
      <x:c r="B8" s="15" t="str">
        <x:v>原创2D横版设施模拟经营游戏美术。常态为现代新媒体收容机构：干净、舒适、清晰的数字科研环境，轻科幻、清洁工业、克制轮廓与简洁色块，低纹理噪声；员工有头、身体、手脚，2.5至3头身，现代科研/管理工作装。异常仅使用互联网平台评论、推荐、直播、通知与压缩故障的局部污染视觉；荒诞但保留原对象辨识度。设施和人物正交侧视，UI正视平面。</x:v>
      </x:c>
    </x:row>
    <x:row r="9" ht="45" customHeight="1">
      <x:c r="A9" s="14" t="str">
        <x:v>统一负面提示词</x:v>
      </x:c>
      <x:c r="B9" s="4" t="str">
        <x:v>不要旧厂房、重锈蚀、脏污铁皮、纸质旧档案、地牢监狱、柴油朋克、军工地下基地、赛博城市霓虹；不要粗墨纸纹怪诞童话基调、裂嘴空眼和统一恐怖怪物化；不要冷酷特工、写实士兵、纯玩偶员工；不要魔法爆炸、全屏红闪、局部高频闪屏、整屏抖动；不要烘焙文字、数字、Logo、水印、血条、进度、路径、范围、棋盘格或整套游戏界面。</x:v>
      </x:c>
    </x:row>
    <x:row r="10" ht="45" customHeight="1">
      <x:c r="A10" s="16" t="str">
        <x:v>常态基础色</x:v>
      </x:c>
      <x:c r="B10" s="15" t="str">
        <x:v>深灰黑 #12161C；蓝灰 #1E2630；金属灰 #39424E；冷白 #D9E1EA；冷青蓝 #57B8FF。建筑/制服/UI以此为骨架，保留亮面与空间层次，不做压抑黑洞。</x:v>
      </x:c>
    </x:row>
    <x:row r="11" ht="45" customHeight="1">
      <x:c r="A11" s="14" t="str">
        <x:v>局部污染色</x:v>
      </x:c>
      <x:c r="B11" s="4" t="str">
        <x:v>荧光粉 #FF4FA3；亮紫 #9C6BFF；明黄 #FFD84D；亮橙 #FF8A3D；异常红 #FF5B6E；霓虹蓝 #4EDBFF。跟随五物母题局部点缀，禁止整张常态设施被荧光占满。</x:v>
      </x:c>
    </x:row>
    <x:row r="12" ht="45" customHeight="1">
      <x:c r="A12" s="16" t="str">
        <x:v>单张生成规则</x:v>
      </x:c>
      <x:c r="B12" s="15" t="str">
        <x:v>只生成本张限定对象的一张独立PNG，不生成拼贴、联系表、多姿势、多视角或含多个独立零件的大图。优先附上同角色已批准的v2定稿；未定稿先做定稿，不能混用其他角色的脸或旧版恐怖形态。</x:v>
      </x:c>
    </x:row>
    <x:row r="13" ht="45" customHeight="1">
      <x:c r="A13" s="14" t="str">
        <x:v>技术规格边界</x:v>
      </x:c>
      <x:c r="B13" s="4" t="str">
        <x:v>表内尺寸、轴点、拆件方式、缩放检查和动效限制均为建议制作规格，需接入时校准；不是新增玩法数值。模型不支持目标尺寸时先同宽高比生成，再由后处理调整尺寸/真实Alpha/轴点/拼接。模型不直接交付PSD、骨骼数据或可运行动画。</x:v>
      </x:c>
    </x:row>
    <x:row r="14" ht="45" customHeight="1">
      <x:c r="A14" s="16" t="str">
        <x:v>参考与资产区别</x:v>
      </x:c>
      <x:c r="B14" s="15" t="str">
        <x:v>定稿图用于确认风格；动作参考是单姿势/关键姿态，供程序骨骼/补间复现。游戏拆件保持母版画布、连接点与统一比例，不自动紧裁；PNG中的像素、碰撞和模拟结算不能各用一套状态。</x:v>
      </x:c>
    </x:row>
    <x:row r="15" ht="45" customHeight="1">
      <x:c r="A15" s="14" t="str">
        <x:v>文字与数值</x:v>
      </x:c>
      <x:c r="B15" s="4" t="str">
        <x:v>图片只交付空白面板、气泡、框和图形符号，中文/数字由程序渲染。观看人数、点赞数、安抚值当前无业务字段，不新增指标、不伪造实时读数；可用非数字装饰表达氛围。已有HP/SP、日目标、冷却等只读真实状态。</x:v>
      </x:c>
    </x:row>
    <x:row r="16" ht="45" customHeight="1">
      <x:c r="A16" s="16" t="str">
        <x:v>人员与动作</x:v>
      </x:c>
      <x:c r="B16" s="15" t="str">
        <x:v>安全员、研究员、技术员、医疗员仅外观差异，不新增职业数值/治疗技能。必须覆盖待机、行走、到位、工作、攻击、受击、惊慌、撤退、恢复、技能反馈，以及现有攀爬/倒地。动作不负责产能或伤害结算。</x:v>
      </x:c>
    </x:row>
    <x:row r="17" ht="45" customHeight="1">
      <x:c r="A17" s="14" t="str">
        <x:v>五物身份</x:v>
      </x:c>
      <x:c r="B17" s="4" t="str">
        <x:v>N01 奶龙：暖黄奶白、低龄内容、重复自我复制；N02 耄耋：暖灰脏粉、情绪评论；N03 大狗：红橙粉白、直播打call；N04 叮咚鸡：明黄橙黄、通知循环播报；N05 咕咕嘎嘎：浅蓝粉白、幼态噪声与软弹气泡。仅这五种。</x:v>
      </x:c>
    </x:row>
    <x:row r="18" ht="45" customHeight="1">
      <x:c r="A18" s="16" t="str">
        <x:v>80% / 20%</x:v>
      </x:c>
      <x:c r="B18" s="15" t="str">
        <x:v>80%常态、20%异常是整体视觉主次和体验目标，不是固定计时、概率、强制屏幕面积或新数值。具体遮挡面积/时长在接入阶段调优，先保证常态舒适和关键信息清晰。</x:v>
      </x:c>
    </x:row>
    <x:row r="19" ht="45" customHeight="1">
      <x:c r="A19" s="14" t="str">
        <x:v>污染层与P2</x:v>
      </x:c>
      <x:c r="B19" s="4" t="str">
        <x:v>常态动效稳定、低频、平滑；异常用短时插入、重复、轻微错位，禁止局部或全屏高频闪烁。污染是覆盖层，基础UI仍可读、可操作，覆盖层不吞鼠标。局部→整层升级与现有技能/联动事件同步，只扩展演出层级；不增加传播网络、外部热度、科研、自动预案或新异常。</x:v>
      </x:c>
    </x:row>
    <x:row r="20" ht="45" customHeight="1">
      <x:c r="A20" s="16" t="str">
        <x:v>命名与交付</x:v>
      </x:c>
      <x:c r="B20" s="15" t="str">
        <x:v>新资源统一含nm_v2；单张命名见提示词A列；建议交到art_delivery/nm_v2/相应子目录，保留旧资源。该目录是交付建议，并非已注册加载器路径。接入时建立清单、真实尺寸、轴点与图层映射，验收后逐项切换。</x:v>
      </x:c>
    </x:row>
    <x:row r="21" ht="45" customHeight="1">
      <x:c r="A21" s="14" t="str">
        <x:v>新增与复用</x:v>
      </x:c>
      <x:c r="B21" s="4" t="str">
        <x:v>复用真实实体、路径、工作位、战斗、暂停、存档与已配置装备/技能。四职业、现代门禁/维护/补给道具及污染层是本版外观需求，新增摆件需另做场景挂点，不代表已接入或新增可操作房间功能。</x:v>
      </x:c>
    </x:row>
    <x:row r="22" ht="45" customHeight="1">
      <x:c r="A22" s="16" t="str">
        <x:v>旧版迁移</x:v>
      </x:c>
      <x:c r="B22" s="15" t="str">
        <x:v>上一版粗墨线、纸纹、锈蚀和恐怖变形不作为正向参考。既有图只可参考空间连接、实体身份、动作时序与拆件接口；本版素材要求和参考对象在主表逐项重写。旧ID可追溯但不等于原PNG可直接复用。</x:v>
      </x:c>
    </x:row>
    <x:row r="23" ht="45" customHeight="1">
      <x:c r="A23" s="14" t="str">
        <x:v>来源及优先级</x:v>
      </x:c>
      <x:c r="B23" s="4" t="str">
        <x:v>最高来源：用户2026-10-21附《美术总方案》，第1—9节。实现边界：项目AGENTS.md v0.2、CODEX_START.md、docs/00_产品形态与视觉验收.md、config/与contracts/data-contract.ts。资源盘点：art-production/production-index.json及上一版需求表；仅用于迁移，不继承旧风格。</x:v>
      </x:c>
    </x:row>
    <x:row r="24" ht="45" customHeight="1">
      <x:c r="A24" s="16" t="str">
        <x:v>导出与操作提示</x:v>
      </x:c>
      <x:c r="B24" s="15" t="str">
        <x:v>主表按ID关联单张提示词，调整生成要求/参考/命名前缀会更新提示词；新增/删除单张行会影响数量，需同时维护完整单张列表。优先级和制作状态可筛选。先批准定稿再批量出同角色拆件，避免模型跨批次换形。</x:v>
      </x:c>
    </x:row>
    <x:row r="25" ht="45" customHeight="1">
      <x:c r="A25" s="14" t="str">
        <x:v>程序字体规范</x:v>
      </x:c>
      <x:c r="B25" s="4" t="str">
        <x:v>主系统使用现代、中性中文无衬线字体，小字号中文和数字清晰；污染文字可以更活泼，但仍须易读。禁止大面积古典字、厚重标题字、综艺营销字与花哨二次元字泛滥。字体由程序排版加载，不能作为图片内烘焙文字交付。</x:v>
      </x:c>
    </x:row>
    <x:row r="26" ht="19.5" customHeight="1">
      <x:c r="A26" s="4"/>
      <x:c r="B26" s="4"/>
    </x:row>
    <x:row r="27" ht="28.5" customHeight="1">
      <x:c r="A27" s="13" t="str">
        <x:v>色值</x:v>
      </x:c>
      <x:c r="B27" s="13" t="str">
        <x:v>用途／色板（颜色来自本次用户规范）</x:v>
      </x:c>
    </x:row>
    <x:row r="28" ht="24" customHeight="1">
      <x:c r="A28" s="18" t="str">
        <x:v>#12161C</x:v>
      </x:c>
      <x:c r="B28" s="4" t="str">
        <x:v>常态 · 深灰黑</x:v>
      </x:c>
    </x:row>
    <x:row r="29" ht="24" customHeight="1">
      <x:c r="A29" s="11" t="str">
        <x:v>#1E2630</x:v>
      </x:c>
      <x:c r="B29" s="4" t="str">
        <x:v>常态 · 蓝灰</x:v>
      </x:c>
    </x:row>
    <x:row r="30" ht="24" customHeight="1">
      <x:c r="A30" s="20" t="str">
        <x:v>#39424E</x:v>
      </x:c>
      <x:c r="B30" s="4" t="str">
        <x:v>常态 · 金属灰</x:v>
      </x:c>
    </x:row>
    <x:row r="31" ht="24" customHeight="1">
      <x:c r="A31" s="22" t="str">
        <x:v>#D9E1EA</x:v>
      </x:c>
      <x:c r="B31" s="4" t="str">
        <x:v>常态 · 冷白</x:v>
      </x:c>
    </x:row>
    <x:row r="32" ht="24" customHeight="1">
      <x:c r="A32" s="24" t="str">
        <x:v>#57B8FF</x:v>
      </x:c>
      <x:c r="B32" s="4" t="str">
        <x:v>常态 · 冷青蓝</x:v>
      </x:c>
    </x:row>
    <x:row r="33" ht="24" customHeight="1">
      <x:c r="A33" s="26" t="str">
        <x:v>#FF4FA3</x:v>
      </x:c>
      <x:c r="B33" s="4" t="str">
        <x:v>污染 · 荧光粉</x:v>
      </x:c>
    </x:row>
    <x:row r="34" ht="24" customHeight="1">
      <x:c r="A34" s="28" t="str">
        <x:v>#9C6BFF</x:v>
      </x:c>
      <x:c r="B34" s="4" t="str">
        <x:v>污染 · 亮紫</x:v>
      </x:c>
    </x:row>
    <x:row r="35" ht="24" customHeight="1">
      <x:c r="A35" s="30" t="str">
        <x:v>#FFD84D</x:v>
      </x:c>
      <x:c r="B35" s="4" t="str">
        <x:v>污染 · 明黄</x:v>
      </x:c>
    </x:row>
    <x:row r="36" ht="24" customHeight="1">
      <x:c r="A36" s="32" t="str">
        <x:v>#FF8A3D</x:v>
      </x:c>
      <x:c r="B36" s="4" t="str">
        <x:v>污染 · 亮橙</x:v>
      </x:c>
    </x:row>
    <x:row r="37" ht="24" customHeight="1">
      <x:c r="A37" s="34" t="str">
        <x:v>#FF5B6E</x:v>
      </x:c>
      <x:c r="B37" s="4" t="str">
        <x:v>污染 · 异常红</x:v>
      </x:c>
    </x:row>
    <x:row r="38" ht="24" customHeight="1">
      <x:c r="A38" s="36" t="str">
        <x:v>#4EDBFF</x:v>
      </x:c>
      <x:c r="B38" s="4" t="str">
        <x:v>污染 · 霓虹蓝</x:v>
      </x:c>
    </x:row>
    <x:row r="39" ht="19.5" customHeight="1">
      <x:c r="A39" s="4"/>
      <x:c r="B39" s="4"/>
    </x:row>
    <x:row r="40" ht="19.5" customHeight="1">
      <x:c r="A40" s="4"/>
      <x:c r="B40" s="4"/>
    </x:row>
    <x:row r="41" ht="19.5" customHeight="1">
      <x:c r="A41" s="4"/>
      <x:c r="B41" s="4"/>
    </x:row>
    <x:row r="42" ht="19.5" customHeight="1">
      <x:c r="A42" s="4"/>
      <x:c r="B42" s="4"/>
    </x:row>
    <x:row r="43" ht="19.5" customHeight="1">
      <x:c r="A43" s="4"/>
      <x:c r="B4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37BA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.5" hidden="0" customWidth="1"/>
    <x:col min="2" max="2" width="13.75" hidden="0" customWidth="1"/>
    <x:col min="3" max="3" width="26.25" hidden="0" customWidth="1"/>
    <x:col min="4" max="4" width="65" hidden="0" customWidth="1"/>
    <x:col min="5" max="5" width="55" hidden="0" customWidth="1"/>
    <x:col min="6" max="6" width="53.75" hidden="0" customWidth="1"/>
    <x:col min="7" max="7" width="57.5" hidden="0" customWidth="1"/>
    <x:col min="8" max="8" width="17.5" hidden="0" customWidth="1"/>
  </x:cols>
  <x:sheetData>
    <x:row r="1" ht="19.5" customHeight="1">
      <x:c r="A1" s="4"/>
      <x:c r="B1" s="4"/>
      <x:c r="C1" s="4"/>
      <x:c r="D1" s="4"/>
      <x:c r="E1" s="4"/>
      <x:c r="F1" s="4"/>
      <x:c r="G1" s="4"/>
      <x:c r="H1" s="4"/>
    </x:row>
    <x:row r="2" ht="27" customHeight="1">
      <x:c r="A2" s="7" t="str">
        <x:v>程序与动效｜无需向模型索取 PNG</x:v>
      </x:c>
      <x:c r="B2" s="7"/>
      <x:c r="C2" s="7"/>
      <x:c r="D2" s="7"/>
      <x:c r="E2" s="7"/>
      <x:c r="F2" s="7"/>
      <x:c r="G2" s="7"/>
      <x:c r="H2" s="7"/>
    </x:row>
    <x:row r="3" ht="22.5" customHeight="1">
      <x:c r="A3" s="9" t="str">
        <x:v>本页计图数为 0；真实路径、数值、文字、状态、插值和污染时序由程序负责</x:v>
      </x:c>
      <x:c r="B3" s="9"/>
      <x:c r="C3" s="9"/>
      <x:c r="D3" s="9"/>
      <x:c r="E3" s="9"/>
      <x:c r="F3" s="9"/>
      <x:c r="G3" s="9"/>
      <x:c r="H3" s="9"/>
    </x:row>
    <x:row r="4" ht="19.5" customHeight="1">
      <x:c r="A4" s="39" t="str">
        <x:v>复用现有模拟；新增外观与污染层待接入。暂停冻结移动、工作、攻击及其表现，暂停期间改令在恢复后执行。</x:v>
      </x:c>
      <x:c r="B4" s="39"/>
      <x:c r="C4" s="39"/>
      <x:c r="D4" s="39"/>
      <x:c r="E4" s="39"/>
      <x:c r="F4" s="39"/>
      <x:c r="G4" s="39"/>
      <x:c r="H4" s="39"/>
    </x:row>
    <x:row r="5" ht="19.5" customHeight="1">
      <x:c r="A5" s="4"/>
      <x:c r="B5" s="4"/>
      <x:c r="C5" s="4"/>
      <x:c r="D5" s="4"/>
      <x:c r="E5" s="4"/>
      <x:c r="F5" s="4"/>
      <x:c r="G5" s="4"/>
      <x:c r="H5" s="4"/>
    </x:row>
    <x:row r="6" ht="19.5" customHeight="1">
      <x:c r="A6" s="4"/>
      <x:c r="B6" s="4"/>
      <x:c r="C6" s="4"/>
      <x:c r="D6" s="4"/>
      <x:c r="E6" s="4"/>
      <x:c r="F6" s="4"/>
      <x:c r="G6" s="4"/>
      <x:c r="H6" s="4"/>
    </x:row>
    <x:row r="7" ht="28.5" customHeight="1">
      <x:c r="A7" s="13" t="str">
        <x:v>职责ID</x:v>
      </x:c>
      <x:c r="B7" s="13" t="str">
        <x:v>优先级</x:v>
      </x:c>
      <x:c r="C7" s="13" t="str">
        <x:v>程序／动效职责</x:v>
      </x:c>
      <x:c r="D7" s="13" t="str">
        <x:v>呈现要求</x:v>
      </x:c>
      <x:c r="E7" s="13" t="str">
        <x:v>真实触发／数据来源</x:v>
      </x:c>
      <x:c r="F7" s="13" t="str">
        <x:v>与图片分工</x:v>
      </x:c>
      <x:c r="G7" s="13" t="str">
        <x:v>验收标准</x:v>
      </x:c>
      <x:c r="H7" s="13" t="str">
        <x:v>当前状态</x:v>
      </x:c>
    </x:row>
    <x:row r="8" ht="86.25" customHeight="1">
      <x:c r="A8" s="37" t="str">
        <x:v>NM_V2_PROG_001</x:v>
      </x:c>
      <x:c r="B8" s="37" t="str">
        <x:v>P0常态</x:v>
      </x:c>
      <x:c r="C8" s="37" t="str">
        <x:v>文字、数值与全部进度实时绘制</x:v>
      </x:c>
      <x:c r="D8" s="37" t="str">
        <x:v>天数、速度、暂停状态、累计产能/目标、可用能量、HP/SP、敌人镇压HP、压力、工作/恢复进度、技能名称/费用/热键/冷却、员工名、房间编号/名称/当前模式、日志和档案正文继续从真实状态生成；主字体采用现代中文无衬线，字号由实际布局验证。所有进度条底槽、填充、冷却扇区由程序。既有数值、枚举、文案内容和经济规则不因换装改变。</x:v>
      </x:c>
      <x:c r="E8" s="37" t="str">
        <x:v>FacilityHUD.render/renderInspector/renderModal及场景真实状态显示。</x:v>
      </x:c>
      <x:c r="F8" s="37" t="str">
        <x:v>保留现有数据合同和状态驱动UI，只替换字体、色彩、底板与图形资源；保留data-action/data-employee/data-skill及可访问标签。</x:v>
      </x:c>
      <x:c r="G8" s="37" t="str">
        <x:v>任意真实HP/SP/能量/压力/冷却改变同步准确；累计产能不被消费扣减；暂停状态随实际timeScale显示；无假文字/假填充/假数值。</x:v>
      </x:c>
      <x:c r="H8" s="37" t="str">
        <x:v>待接入验收</x:v>
      </x:c>
    </x:row>
    <x:row r="9" ht="72" customHeight="1">
      <x:c r="A9" s="38" t="str">
        <x:v>NM_V2_PROG_002</x:v>
      </x:c>
      <x:c r="B9" s="38" t="str">
        <x:v>P0常态</x:v>
      </x:c>
      <x:c r="C9" s="38" t="str">
        <x:v>路径、选择、范围与小地图</x:v>
      </x:c>
      <x:c r="D9" s="38" t="str">
        <x:v>员工/敌人选中圈、房间选中边、框选矩形、移动目的地、路径、小地图节点/角色点/相机框与技能/攻击精确范围由世界坐标和当前相机投影计算。精确圆/扇区/边界不能使用含糊装饰PNG代替。按现有导航与技能规则显示合法对象/范围；不增跨层命中、碰撞或技能。污染装饰必须在这些规则提示下层或避让。</x:v>
      </x:c>
      <x:c r="E9" s="38" t="str">
        <x:v>当前选中集合、真实路径、activeSkillId、EnemyRuntime.attackPhase/windupEndsAtSec及既有导航规则。</x:v>
      </x:c>
      <x:c r="F9" s="38" t="str">
        <x:v>保留现有Scene几何实现、相机控制与图导航；仅调整视觉参数，不重定义射程或路径。</x:v>
      </x:c>
      <x:c r="G9" s="38" t="str">
        <x:v>缩放、拖动和小地图聚焦后几何仍对齐；员工与敌人不因贴图扩大命中区域；前摇取消立即清除误导范围。</x:v>
      </x:c>
      <x:c r="H9" s="38" t="str">
        <x:v>待接入验收</x:v>
      </x:c>
    </x:row>
    <x:row r="10" ht="72" customHeight="1">
      <x:c r="A10" s="37" t="str">
        <x:v>NM_V2_PROG_003</x:v>
      </x:c>
      <x:c r="B10" s="37" t="str">
        <x:v>P0常态</x:v>
      </x:c>
      <x:c r="C10" s="37" t="str">
        <x:v>所有场内与污染动效按模拟时间</x:v>
      </x:c>
      <x:c r="D10" s="37" t="str">
        <x:v>所有工作扫描、受击淡出、恐慌信号、污染卡片插入、波形相位、播放头、残影、状态灯和P2演出使用simulationTimeSec或既有真实remaining驱动。暂停冻结全部场内及污染相位，不用Date.now/performance.now/CSS循环动画/动画回调作为逻辑结算源。菜单hover/focus可即时响应，但不得推进场内演出。</x:v>
      </x:c>
      <x:c r="E10" s="37" t="str">
        <x:v>真实模拟时间推进；手动暂停、教程/模态暂停及后台暂停沿用现有行为。</x:v>
      </x:c>
      <x:c r="F10" s="37" t="str">
        <x:v>沿用EffectsArt.beginFrame/endFrame图像池和各方法传入time/remaining的模式；不新增计时器或逻辑副本。</x:v>
      </x:c>
      <x:c r="G10" s="37" t="str">
        <x:v>暂停前后固定模拟时间比较角色、VFX、污染位置/相位/透明度一致；仍可选人、改令与控制相机；恢复不出现补帧爆发。</x:v>
      </x:c>
      <x:c r="H10" s="37" t="str">
        <x:v>待接入验收</x:v>
      </x:c>
    </x:row>
    <x:row r="11" ht="72" customHeight="1">
      <x:c r="A11" s="38" t="str">
        <x:v>NM_V2_PROG_004</x:v>
      </x:c>
      <x:c r="B11" s="38" t="str">
        <x:v>P0常态</x:v>
      </x:c>
      <x:c r="C11" s="38" t="str">
        <x:v>实体、分身与残影正确复用</x:v>
      </x:c>
      <x:c r="D11" s="38" t="str">
        <x:v>每个主可见角色绑定真实EmployeeRuntime/EnemyRuntime；N01主样本与两分身各自独立绑定真实实体并复用同源sprite；N04/N05可选残影和重复字幕仅从本体sprite/程序文本低透明复用，不生成多只独立异常素材。残影没有HP条、碰撞、选中或攻击能力，不移动真实实体。禁止平行演出状态代替业务状态。</x:v>
      </x:c>
      <x:c r="E11" s="38" t="str">
        <x:v>真实实体列表与isClone、sourceAnomalyId；视觉回声仅依据既有失效/攻击状态。</x:v>
      </x:c>
      <x:c r="F11" s="38" t="str">
        <x:v>继续使用既有角色拆件和真实动画驱动；素材换代通过映射迁移，不变更实体数量和命令。</x:v>
      </x:c>
      <x:c r="G11" s="38" t="str">
        <x:v>显示实体数与真实状态一致；N01仍实际1主+2分身；N04/N05残影无独立血条或点击；暂停回声相位冻结。</x:v>
      </x:c>
      <x:c r="H11" s="38" t="str">
        <x:v>待接入验收</x:v>
      </x:c>
    </x:row>
    <x:row r="12" ht="86.25" customHeight="1">
      <x:c r="A12" s="37" t="str">
        <x:v>NM_V2_PROG_005</x:v>
      </x:c>
      <x:c r="B12" s="37" t="str">
        <x:v>P1局部污染</x:v>
      </x:c>
      <x:c r="C12" s="37" t="str">
        <x:v>覆盖层限量、避让、裁切与点击穿透</x:v>
      </x:c>
      <x:c r="D12" s="37" t="str">
        <x:v>基础UI保持常驻可操作，污染是局部覆盖层。所有污染容器不接收鼠标/触摸，DOM pointer-events:none；Phaser图像不setInteractive，不阻塞框选、移动、右键取消、拖动相机、房间菜单或技能按钮。建立关键内容保护区：员工/收容物位置、门口、房间编号和状态、HP/SP、技能可用性、当前失效与目标进度。局部按房间/当前事件裁切，移出镜头或状态结束及时回收池对象。</x:v>
      </x:c>
      <x:c r="E12" s="37" t="str">
        <x:v>现有BREACHED/RECOVERING、真实攻击相位、实际技能生效与既有联动事件；无独立污染业务状态。</x:v>
      </x:c>
      <x:c r="F12" s="37" t="str">
        <x:v>新增仅渲染层的有限对象池与保护区避让；不扩展游戏命令、传播路径或资源系统。建议数量、透明度、遮挡占比与时长全部待真实取景调整。</x:v>
      </x:c>
      <x:c r="G12" s="37" t="str">
        <x:v>污染存在时连续点击/框选/半路改令/暂停/缩放拖动成功；1600×900与1280×720不遮关键读数；无全屏闪白、全屏抖动或长时刷屏。</x:v>
      </x:c>
      <x:c r="H12" s="37" t="str">
        <x:v>待接入验收</x:v>
      </x:c>
    </x:row>
    <x:row r="13" ht="100.5" customHeight="1">
      <x:c r="A13" s="38" t="str">
        <x:v>NM_V2_PROG_006</x:v>
      </x:c>
      <x:c r="B13" s="38" t="str">
        <x:v>P1局部污染</x:v>
      </x:c>
      <x:c r="C13" s="38" t="str">
        <x:v>污染文案、播放条与波形程序生成</x:v>
      </x:c>
      <x:c r="D13" s="38" t="str">
        <x:v>评论、重复台词、拟声、通知字样、循环提示和短字幕由程序本地词表排版，不让模型生成任何字。N01重复短句、N02情绪短句、N03应援文案、N04通知词、N05拟声词区分母题；避免真实用户名/个人信息/真实平台商标。播放进度与波形只映射已有攻击阶段/模拟相位，明确是异常演出，不伪称真实音频测量。观看数/点赞数/安抚值目前没有业务字段，默认不显示数值，仅用图标出现密度表达；不可杜撰实时平台数据或新增热度资源。</x:v>
      </x:c>
      <x:c r="E13" s="38" t="str">
        <x:v>仅对应真实异常已触发的视觉事件；字符串与显示频率依现有状态，不接外部网络。</x:v>
      </x:c>
      <x:c r="F13" s="38" t="str">
        <x:v>新增本地展示词表与相位几何时保持与逻辑隔离；不改变既有游戏状态合同。若未来要求装饰计数，必须单独定义来源与显著非真实属性后再评估，当前不预置。</x:v>
      </x:c>
      <x:c r="G13" s="38" t="str">
        <x:v>所有文本可选语言/可缩放且没有图片乱码；没有虚假观看、点赞、热度、频谱或情绪监控；取消前摇/恢复后波形与通知及时结束。</x:v>
      </x:c>
      <x:c r="H13" s="38" t="str">
        <x:v>待接入验收</x:v>
      </x:c>
    </x:row>
    <x:row r="14" ht="100.5" customHeight="1">
      <x:c r="A14" s="37" t="str">
        <x:v>NM_V2_PROG_007</x:v>
      </x:c>
      <x:c r="B14" s="37" t="str">
        <x:v>P0常态</x:v>
      </x:c>
      <x:c r="C14" s="37" t="str">
        <x:v>固定DOM与原技能能力保留</x:v>
      </x:c>
      <x:c r="D14" s="37" t="str">
        <x:v>五技能保留config内S01–S05的target/effect/数值/费用/冷却/热键：S01单敌眩晕取消前摇；S02单敌红伤；S03走廊点范围红伤击退；S04未重伤全员移速增益；S05范围精神恢复。保持既有购买前置、装备仅四属性数字、存档边界、模式切换和教程。HUD按钮/员工行/技能节点保持稳定DOM；缓存相同markup、href/src、文本、style，不每次刷新重建或重复请求图片。选中/禁用/锁定/冷却/瞄准样式程序绘制，无需逐状态生图。</x:v>
      </x:c>
      <x:c r="E14" s="37" t="str">
        <x:v>现有Controller命令结果、真实解锁及冷却状态；资源加载完成后显示对应新图。</x:v>
      </x:c>
      <x:c r="F14" s="37" t="str">
        <x:v>只迁移美术映射/CSS与无字图标；沿用data-action/data-employee/data-skill及键盘快捷键，不增加新按钮功能。</x:v>
      </x:c>
      <x:c r="G14" s="37" t="str">
        <x:v>同一按钮句柄跨多次刷新仍有效；无重复SVG/PNG请求风暴；五技能能力与旧版行为一致，真实操作结果不因新图变化。</x:v>
      </x:c>
      <x:c r="H14" s="37" t="str">
        <x:v>待接入验收</x:v>
      </x:c>
    </x:row>
    <x:row r="15" ht="86.25" customHeight="1">
      <x:c r="A15" s="38" t="str">
        <x:v>NM_V2_PROG_008</x:v>
      </x:c>
      <x:c r="B15" s="38" t="str">
        <x:v>P2扩展演出</x:v>
      </x:c>
      <x:c r="C15" s="38" t="str">
        <x:v>版本映射、分期落地与实机验收</x:v>
      </x:c>
      <x:c r="D15" s="38" t="str">
        <x:v>本轮文件仅需求规划，未生成新图、未接入新版风格。nm_v2资产采用新命名映射，保留现有素材与可运行版本以便逐模块验证。先完成清洁常态界面，再接五物局部污染，最后评估P2。附件80%常态/20%异常作为视觉使用原则，不是新增计时器、玩法概率或强制像素公式。P2‘扩散/升级’只能依据已有同时失效、攻击、技能、L01联动作视觉层数变化，不能引入传播网络。</x:v>
      </x:c>
      <x:c r="E15" s="38" t="str">
        <x:v>各阶段素材与接入完成后进行真实操作验证，不按文档条数宣称已实现。</x:v>
      </x:c>
      <x:c r="F15" s="38" t="str">
        <x:v>保留旧映射作回退参考而不覆盖原图；生图、导入、编译、实际取景分别记录。P2可裁剪，不阻碍P0/P1可玩交付。</x:v>
      </x:c>
      <x:c r="G15" s="38" t="str">
        <x:v>后续实际运行typecheck/test/build，并在1600/1280验证移动改令、工作、失效、镇压、撤退、暂停、五技能、UI点击和遮挡；素材质量、逻辑结果、实机范围分开记录。</x:v>
      </x:c>
      <x:c r="H15" s="38" t="str">
        <x:v>待接入验收</x:v>
      </x:c>
    </x:row>
    <x:row r="16" ht="19.5" customHeight="1">
      <x:c r="A16" s="4"/>
      <x:c r="B16" s="4"/>
      <x:c r="C16" s="4"/>
      <x:c r="D16" s="4"/>
      <x:c r="E16" s="4"/>
      <x:c r="F16" s="4"/>
      <x:c r="G16" s="4"/>
      <x:c r="H16" s="4"/>
    </x:row>
    <x:row r="17" ht="19.5" customHeight="1">
      <x:c r="A17" s="4"/>
      <x:c r="B17" s="4"/>
      <x:c r="C17" s="4"/>
      <x:c r="D17" s="4"/>
      <x:c r="E17" s="4"/>
      <x:c r="F17" s="4"/>
      <x:c r="G17" s="4"/>
      <x:c r="H17" s="4"/>
    </x:row>
  </x:sheetData>
  <x:conditionalFormatting sqref="B8:B15">
    <x:cfRule type="containsText" dxfId="6" priority="1" operator="containsText" text="P0"/>
    <x:cfRule type="containsText" dxfId="7" priority="2" operator="containsText" text="P1"/>
    <x:cfRule type="containsText" dxfId="8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f44df1e3c7614fd1"/>
  </x:tableParts>
</x:worksheet>
</file>

<file path=xl/worksheets/sheet5.xml><?xml version="1.0" encoding="utf-8"?>
<x:worksheet xmlns:x="http://schemas.openxmlformats.org/spreadsheetml/2006/main">
  <x:sheetPr>
    <x:tabColor rgb="FF237BA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25" hidden="0" customWidth="1"/>
    <x:col min="2" max="2" width="12.5" hidden="0" customWidth="1"/>
    <x:col min="3" max="3" width="21.25" hidden="0" customWidth="1"/>
    <x:col min="4" max="4" width="85" hidden="0" customWidth="1"/>
    <x:col min="5" max="5" width="62.5" hidden="0" customWidth="1"/>
    <x:col min="6" max="6" width="15" hidden="0" customWidth="1"/>
    <x:col min="7" max="7" width="50" hidden="0" customWidth="1"/>
  </x:cols>
  <x:sheetData>
    <x:row r="1" ht="19.5" customHeight="1">
      <x:c r="A1" s="4"/>
      <x:c r="B1" s="4"/>
      <x:c r="C1" s="4"/>
      <x:c r="D1" s="4"/>
      <x:c r="E1" s="4"/>
      <x:c r="F1" s="4"/>
      <x:c r="G1" s="4"/>
    </x:row>
    <x:row r="2" ht="27" customHeight="1">
      <x:c r="A2" s="7" t="str">
        <x:v>验收清单｜出图合格与实机合格分开记录</x:v>
      </x:c>
      <x:c r="B2" s="7"/>
      <x:c r="C2" s="7"/>
      <x:c r="D2" s="7"/>
      <x:c r="E2" s="7"/>
      <x:c r="F2" s="7"/>
      <x:c r="G2" s="7"/>
    </x:row>
    <x:row r="3" ht="22.5" customHeight="1">
      <x:c r="A3" s="9" t="str">
        <x:v>当前全部待验收；本次只交需求表，不以旧版验收结果替代新版视觉验证</x:v>
      </x:c>
      <x:c r="B3" s="9"/>
      <x:c r="C3" s="9"/>
      <x:c r="D3" s="9"/>
      <x:c r="E3" s="9"/>
      <x:c r="F3" s="9"/>
      <x:c r="G3" s="9"/>
    </x:row>
    <x:row r="4" ht="19.5" customHeight="1">
      <x:c r="A4" s="4"/>
      <x:c r="B4" s="4"/>
      <x:c r="C4" s="4"/>
      <x:c r="D4" s="4"/>
      <x:c r="E4" s="4"/>
      <x:c r="F4" s="4"/>
      <x:c r="G4" s="4"/>
    </x:row>
    <x:row r="5" ht="19.5" customHeight="1">
      <x:c r="A5" s="4"/>
      <x:c r="B5" s="4"/>
      <x:c r="C5" s="4"/>
      <x:c r="D5" s="4"/>
      <x:c r="E5" s="4"/>
      <x:c r="F5" s="4"/>
      <x:c r="G5" s="4"/>
    </x:row>
    <x:row r="6" ht="19.5" customHeight="1">
      <x:c r="A6" s="4"/>
      <x:c r="B6" s="4"/>
      <x:c r="C6" s="4"/>
      <x:c r="D6" s="4"/>
      <x:c r="E6" s="4"/>
      <x:c r="F6" s="4"/>
      <x:c r="G6" s="4"/>
    </x:row>
    <x:row r="7" ht="28.5" customHeight="1">
      <x:c r="A7" s="13" t="str">
        <x:v>验收ID</x:v>
      </x:c>
      <x:c r="B7" s="13" t="str">
        <x:v>阶段</x:v>
      </x:c>
      <x:c r="C7" s="13" t="str">
        <x:v>检查对象</x:v>
      </x:c>
      <x:c r="D7" s="13" t="str">
        <x:v>通过标准</x:v>
      </x:c>
      <x:c r="E7" s="13" t="str">
        <x:v>检查方法</x:v>
      </x:c>
      <x:c r="F7" s="13" t="str">
        <x:v>验收结果</x:v>
      </x:c>
      <x:c r="G7" s="13" t="str">
        <x:v>证据／返工备注</x:v>
      </x:c>
    </x:row>
    <x:row r="8" ht="46.5" customHeight="1">
      <x:c r="A8" s="37" t="str">
        <x:v>A01</x:v>
      </x:c>
      <x:c r="B8" s="37" t="str">
        <x:v>定稿</x:v>
      </x:c>
      <x:c r="C8" s="37" t="str">
        <x:v>常态风格</x:v>
      </x:c>
      <x:c r="D8" s="37" t="str">
        <x:v>设施、角色与主UI呈现干净、现代、清晰的新媒体研究机构；不依靠旧锈铁、纸档案或粗墨线表现收容感。</x:v>
      </x:c>
      <x:c r="E8" s="37" t="str">
        <x:v>对比新版色板、角色与房间定稿。</x:v>
      </x:c>
      <x:c r="F8" s="45" t="str">
        <x:v>待验收</x:v>
      </x:c>
      <x:c r="G8" s="45" t="str"/>
    </x:row>
    <x:row r="9" ht="46.5" customHeight="1">
      <x:c r="A9" s="38" t="str">
        <x:v>A02</x:v>
      </x:c>
      <x:c r="B9" s="38" t="str">
        <x:v>定稿</x:v>
      </x:c>
      <x:c r="C9" s="38" t="str">
        <x:v>五物辨识</x:v>
      </x:c>
      <x:c r="D9" s="38" t="str">
        <x:v>N01暖黄奶白；N02暖灰脏粉；N03红橙粉白；N04明黄橙黄；N05浅蓝粉白；失效以重复/评论/直播/播报/幼态噪声区分。</x:v>
      </x:c>
      <x:c r="E9" s="38" t="str">
        <x:v>并排看五物常态与失效定稿。</x:v>
      </x:c>
      <x:c r="F9" s="45" t="str">
        <x:v>待验收</x:v>
      </x:c>
      <x:c r="G9" s="45" t="str"/>
    </x:row>
    <x:row r="10" ht="46.5" customHeight="1">
      <x:c r="A10" s="37" t="str">
        <x:v>A03</x:v>
      </x:c>
      <x:c r="B10" s="37" t="str">
        <x:v>定稿</x:v>
      </x:c>
      <x:c r="C10" s="37" t="str">
        <x:v>员工比例和职业</x:v>
      </x:c>
      <x:c r="D10" s="37" t="str">
        <x:v>2.5—3头身，头身手脚明确；安全/研究/技术/医疗四外观可辨；研究员舒服理性，不像士兵或特工。</x:v>
      </x:c>
      <x:c r="E10" s="37" t="str">
        <x:v>定稿与实际默认缩放均检查。</x:v>
      </x:c>
      <x:c r="F10" s="45" t="str">
        <x:v>待验收</x:v>
      </x:c>
      <x:c r="G10" s="45" t="str"/>
    </x:row>
    <x:row r="11" ht="46.5" customHeight="1">
      <x:c r="A11" s="38" t="str">
        <x:v>A04</x:v>
      </x:c>
      <x:c r="B11" s="38" t="str">
        <x:v>出图</x:v>
      </x:c>
      <x:c r="C11" s="38" t="str">
        <x:v>单件可交付</x:v>
      </x:c>
      <x:c r="D11" s="38" t="str">
        <x:v>一行一PNG，数量、命名、比例和版本一致；透明素材有真实Alpha，不是棋盘格/白底假透明。</x:v>
      </x:c>
      <x:c r="E11" s="38" t="str">
        <x:v>按逐张列表逐一核对文件及Alpha。</x:v>
      </x:c>
      <x:c r="F11" s="45" t="str">
        <x:v>待验收</x:v>
      </x:c>
      <x:c r="G11" s="45" t="str"/>
    </x:row>
    <x:row r="12" ht="46.5" customHeight="1">
      <x:c r="A12" s="37" t="str">
        <x:v>A05</x:v>
      </x:c>
      <x:c r="B12" s="37" t="str">
        <x:v>出图</x:v>
      </x:c>
      <x:c r="C12" s="37" t="str">
        <x:v>拆件装配</x:v>
      </x:c>
      <x:c r="D12" s="37" t="str">
        <x:v>同角色母版画布/轴点/关节一致，双臂腿与手持装备可接合，翻转不改变人体比例；拆件无缺口和脏边。</x:v>
      </x:c>
      <x:c r="E12" s="37" t="str">
        <x:v>叠层装配、镜像与工作/攻击关键姿态检查。</x:v>
      </x:c>
      <x:c r="F12" s="45" t="str">
        <x:v>待验收</x:v>
      </x:c>
      <x:c r="G12" s="45" t="str"/>
    </x:row>
    <x:row r="13" ht="46.5" customHeight="1">
      <x:c r="A13" s="38" t="str">
        <x:v>A06</x:v>
      </x:c>
      <x:c r="B13" s="38" t="str">
        <x:v>出图与实机</x:v>
      </x:c>
      <x:c r="C13" s="38" t="str">
        <x:v>文字分离与字体</x:v>
      </x:c>
      <x:c r="D13" s="38" t="str">
        <x:v>图片无烘焙中文、数值、血条、计时或状态；程序主字体为现代中文无衬线，小字号及数字清晰，污染文字活泼但易读。</x:v>
      </x:c>
      <x:c r="E13" s="38" t="str">
        <x:v>逐图放大检查后叠真实文本；禁止古典/营销/花哨字泛滥。</x:v>
      </x:c>
      <x:c r="F13" s="45" t="str">
        <x:v>待验收</x:v>
      </x:c>
      <x:c r="G13" s="45" t="str"/>
    </x:row>
    <x:row r="14" ht="46.5" customHeight="1">
      <x:c r="A14" s="37" t="str">
        <x:v>A07</x:v>
      </x:c>
      <x:c r="B14" s="37" t="str">
        <x:v>出图</x:v>
      </x:c>
      <x:c r="C14" s="37" t="str">
        <x:v>模块拼接</x:v>
      </x:c>
      <x:c r="D14" s="37" t="str">
        <x:v>墙地板边缘平铺无明显接缝；门、窗、楼梯、终端及工作位有清楚空间关系。</x:v>
      </x:c>
      <x:c r="E14" s="37" t="str">
        <x:v>连续拼接至少三段；不拿整张概念场景替换关卡。</x:v>
      </x:c>
      <x:c r="F14" s="45" t="str">
        <x:v>待验收</x:v>
      </x:c>
      <x:c r="G14" s="45" t="str"/>
    </x:row>
    <x:row r="15" ht="46.5" customHeight="1">
      <x:c r="A15" s="38" t="str">
        <x:v>A08</x:v>
      </x:c>
      <x:c r="B15" s="38" t="str">
        <x:v>出图</x:v>
      </x:c>
      <x:c r="C15" s="38" t="str">
        <x:v>旧版清退</x:v>
      </x:c>
      <x:c r="D15" s="38" t="str">
        <x:v>旧图只留作身份/接口参考；不残留裂嘴空眼、巨大恐怖口、旧挂钟纸柜或冰霜房的正向要求。</x:v>
      </x:c>
      <x:c r="E15" s="38" t="str">
        <x:v>按主表旧版如何替换逐组检查。</x:v>
      </x:c>
      <x:c r="F15" s="45" t="str">
        <x:v>待验收</x:v>
      </x:c>
      <x:c r="G15" s="45" t="str"/>
    </x:row>
    <x:row r="16" ht="46.5" customHeight="1">
      <x:c r="A16" s="37" t="str">
        <x:v>A09</x:v>
      </x:c>
      <x:c r="B16" s="37" t="str">
        <x:v>实机</x:v>
      </x:c>
      <x:c r="C16" s="37" t="str">
        <x:v>设施主体</x:v>
      </x:c>
      <x:c r="D16" s="37" t="str">
        <x:v>默认画面设施约65%以上；真实多层剖面、房间和通道可辨，UI不挤占空间，不把文字卡片当主场景。</x:v>
      </x:c>
      <x:c r="E16" s="37" t="str">
        <x:v>运行游戏截图，覆盖总览与局部缩放。</x:v>
      </x:c>
      <x:c r="F16" s="45" t="str">
        <x:v>待验收</x:v>
      </x:c>
      <x:c r="G16" s="45" t="str"/>
    </x:row>
    <x:row r="17" ht="46.5" customHeight="1">
      <x:c r="A17" s="38" t="str">
        <x:v>A10</x:v>
      </x:c>
      <x:c r="B17" s="38" t="str">
        <x:v>实机</x:v>
      </x:c>
      <x:c r="C17" s="38" t="str">
        <x:v>人员调度</x:v>
      </x:c>
      <x:c r="D17" s="38" t="str">
        <x:v>小人可点选/框选并连续移动，途中改令；走入收容室到工作位才工作；姿态与实际实体位置一致。</x:v>
      </x:c>
      <x:c r="E17" s="38" t="str">
        <x:v>连续记录：移动途中改令→进室到位→工作。</x:v>
      </x:c>
      <x:c r="F17" s="45" t="str">
        <x:v>待验收</x:v>
      </x:c>
      <x:c r="G17" s="45" t="str"/>
    </x:row>
    <x:row r="18" ht="46.5" customHeight="1">
      <x:c r="A18" s="37" t="str">
        <x:v>A11</x:v>
      </x:c>
      <x:c r="B18" s="37" t="str">
        <x:v>实机</x:v>
      </x:c>
      <x:c r="C18" s="37" t="str">
        <x:v>工作与战斗动作</x:v>
      </x:c>
      <x:c r="D18" s="37" t="str">
        <x:v>待机/走路/攀爬/到位/工作/攻击/命中/受击/惊慌/撤退/倒地/恢复/技能反馈完整；动画参考不当作已接入动画。</x:v>
      </x:c>
      <x:c r="E18" s="37" t="str">
        <x:v>真实失效→进入射程→出手命中→受击→撤退。</x:v>
      </x:c>
      <x:c r="F18" s="45" t="str">
        <x:v>待验收</x:v>
      </x:c>
      <x:c r="G18" s="45" t="str"/>
    </x:row>
    <x:row r="19" ht="46.5" customHeight="1">
      <x:c r="A19" s="38" t="str">
        <x:v>A12</x:v>
      </x:c>
      <x:c r="B19" s="38" t="str">
        <x:v>实机</x:v>
      </x:c>
      <x:c r="C19" s="38" t="str">
        <x:v>污染可读性与节奏</x:v>
      </x:c>
      <x:c r="D19" s="38" t="str">
        <x:v>常态稳定低频平滑，禁止局部/全屏高频闪烁。污染是局部短时覆盖层且不吞鼠标；人员/异常位置、房间编号状态、HP/SP、技能可用和日目标始终可辨。</x:v>
      </x:c>
      <x:c r="E19" s="38" t="str">
        <x:v>五物分别失效；实际点击被覆盖区域仍可操作。</x:v>
      </x:c>
      <x:c r="F19" s="45" t="str">
        <x:v>待验收</x:v>
      </x:c>
      <x:c r="G19" s="45" t="str"/>
    </x:row>
    <x:row r="20" ht="46.5" customHeight="1">
      <x:c r="A20" s="37" t="str">
        <x:v>A13</x:v>
      </x:c>
      <x:c r="B20" s="37" t="str">
        <x:v>实机</x:v>
      </x:c>
      <x:c r="C20" s="37" t="str">
        <x:v>五物污染差异</x:v>
      </x:c>
      <x:c r="D20" s="37" t="str">
        <x:v>N01重复黄气泡；N02争吵情绪；N03爱心直播；N04通知波形；N05软弹拟声；保留常态背景与基础UI。</x:v>
      </x:c>
      <x:c r="E20" s="37" t="str">
        <x:v>五物分别录制一段，逐项对照母题。</x:v>
      </x:c>
      <x:c r="F20" s="45" t="str">
        <x:v>待验收</x:v>
      </x:c>
      <x:c r="G20" s="45" t="str"/>
    </x:row>
    <x:row r="21" ht="46.5" customHeight="1">
      <x:c r="A21" s="38" t="str">
        <x:v>A14</x:v>
      </x:c>
      <x:c r="B21" s="38" t="str">
        <x:v>实机</x:v>
      </x:c>
      <x:c r="C21" s="38" t="str">
        <x:v>统一状态与暂停</x:v>
      </x:c>
      <x:c r="D21" s="38" t="str">
        <x:v>画面/位置/工作/伤害绑定同一模拟；暂停冻结实体和对应特效，暂停改令后恢复执行新命令。</x:v>
      </x:c>
      <x:c r="E21" s="38" t="str">
        <x:v>比较暂停前后位置、工作进度、HP/SP、角色姿态、攻击相位与污染粒子/相位均不推进；选择及按钮悬停可响应。</x:v>
      </x:c>
      <x:c r="F21" s="45" t="str">
        <x:v>待验收</x:v>
      </x:c>
      <x:c r="G21" s="45" t="str"/>
    </x:row>
    <x:row r="22" ht="46.5" customHeight="1">
      <x:c r="A22" s="37" t="str">
        <x:v>A15</x:v>
      </x:c>
      <x:c r="B22" s="37" t="str">
        <x:v>实机</x:v>
      </x:c>
      <x:c r="C22" s="37" t="str">
        <x:v>不新增玩法或假读数</x:v>
      </x:c>
      <x:c r="D22" s="37" t="str">
        <x:v>职业仅外观；P2仅演出；不存在新热度/传播网/安抚值/治疗职业；观看点赞无数据则不显示数值。</x:v>
      </x:c>
      <x:c r="E22" s="37" t="str">
        <x:v>检查代码映射与UI实际数值来源。</x:v>
      </x:c>
      <x:c r="F22" s="45" t="str">
        <x:v>待验收</x:v>
      </x:c>
      <x:c r="G22" s="45" t="str"/>
    </x:row>
    <x:row r="23" ht="46.5" customHeight="1">
      <x:c r="A23" s="38" t="str">
        <x:v>A16</x:v>
      </x:c>
      <x:c r="B23" s="38" t="str">
        <x:v>实机</x:v>
      </x:c>
      <x:c r="C23" s="38" t="str">
        <x:v>五物装备技能与兼容</x:v>
      </x:c>
      <x:c r="D23" s="38" t="str">
        <x:v>沿用五物、五武器/防具与五技能ID，装备仅四属性；旧存档与正式第一日原四员工配置保持可用。</x:v>
      </x:c>
      <x:c r="E23" s="38" t="str">
        <x:v>接入后运行类型检查、测试、构建和真实场景验证。</x:v>
      </x:c>
      <x:c r="F23" s="45" t="str">
        <x:v>待验收</x:v>
      </x:c>
      <x:c r="G23" s="45" t="str"/>
    </x:row>
    <x:row r="24" ht="46.5" customHeight="1">
      <x:c r="A24" s="37" t="str">
        <x:v>A17</x:v>
      </x:c>
      <x:c r="B24" s="37" t="str">
        <x:v>实机</x:v>
      </x:c>
      <x:c r="C24" s="37" t="str">
        <x:v>证据与完成口径</x:v>
      </x:c>
      <x:c r="D24" s="37" t="str">
        <x:v>截图/连续操作来自真实游戏；出图完成、接入完成与实机通过分开记录；无法运行明确未验证。</x:v>
      </x:c>
      <x:c r="E24" s="37" t="str">
        <x:v>保留运行版本、截图和操作记录，禁止生成假实机图。</x:v>
      </x:c>
      <x:c r="F24" s="45" t="str">
        <x:v>待验收</x:v>
      </x:c>
      <x:c r="G24" s="45" t="str"/>
    </x:row>
    <x:row r="25" ht="19.5" customHeight="1">
      <x:c r="A25" s="4"/>
      <x:c r="B25" s="4"/>
      <x:c r="C25" s="4"/>
      <x:c r="D25" s="4"/>
      <x:c r="E25" s="4"/>
      <x:c r="F25" s="4"/>
      <x:c r="G25" s="4"/>
    </x:row>
    <x:row r="26" ht="19.5" customHeight="1">
      <x:c r="A26" s="4"/>
      <x:c r="B26" s="4"/>
      <x:c r="C26" s="4"/>
      <x:c r="D26" s="4"/>
      <x:c r="E26" s="4"/>
      <x:c r="F26" s="4"/>
      <x:c r="G26" s="4"/>
    </x:row>
  </x:sheetData>
  <x:dataValidations count="1">
    <x:dataValidation type="list" sqref="F8:F24">
      <x:formula1>"待验收,通过,需返工,未验证"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0fa720c6fe4222"/>
  </x:tableParts>
</x:worksheet>
</file>